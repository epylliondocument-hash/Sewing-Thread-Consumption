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uide" sheetId="1" state="visible" r:id="rId3"/>
    <sheet name="Setup" sheetId="2" state="visible" r:id="rId4"/>
    <sheet name="Operations" sheetId="3" state="visible" r:id="rId5"/>
    <sheet name="Thread Order" sheetId="4" state="visible" r:id="rId6"/>
    <sheet name="Dashboard" sheetId="5" state="visible" r:id="rId7"/>
    <sheet name="Stitch Library" sheetId="6" state="visible" r:id="rId8"/>
    <sheet name="Engine" sheetId="7" state="visible" r:id="rId9"/>
  </sheets>
  <definedNames>
    <definedName function="false" hidden="false" name="Currency" vbProcedure="false">Setup!$C$26</definedName>
    <definedName function="false" hidden="false" name="Engine_Grid" vbProcedure="false">Engine!$D$8:$AA$300</definedName>
    <definedName function="false" hidden="false" name="Lib_Basis" vbProcedure="false">'Stitch Library'!$D$6:$D$73</definedName>
    <definedName function="false" hidden="false" name="Lib_Bobbin" vbProcedure="false">'Stitch Library'!$W$6:$W$73</definedName>
    <definedName function="false" hidden="false" name="Lib_Cat" vbProcedure="false">'Stitch Library'!$C$6:$C$73</definedName>
    <definedName function="false" hidden="false" name="Lib_Cover" vbProcedure="false">'Stitch Library'!$Y$6:$Y$73</definedName>
    <definedName function="false" hidden="false" name="Lib_Looper" vbProcedure="false">'Stitch Library'!$X$6:$X$73</definedName>
    <definedName function="false" hidden="false" name="Lib_MaxSPI" vbProcedure="false">'Stitch Library'!$AB$6:$AB$73</definedName>
    <definedName function="false" hidden="false" name="Lib_MinSPI" vbProcedure="false">'Stitch Library'!$AA$6:$AA$73</definedName>
    <definedName function="false" hidden="false" name="Lib_Multi" vbProcedure="false">'Stitch Library'!$E$6:$E$73</definedName>
    <definedName function="false" hidden="false" name="Lib_Names" vbProcedure="false">'Stitch Library'!$B$6:$B$73</definedName>
    <definedName function="false" hidden="false" name="Lib_Needle" vbProcedure="false">'Stitch Library'!$V$6:$V$73</definedName>
    <definedName function="false" hidden="false" name="Prog_Size" vbProcedure="false">Setup!$C$25</definedName>
    <definedName function="false" hidden="false" name="Thread_List" vbProcedure="false">Setup!$B$31:$B$45</definedName>
    <definedName function="false" hidden="false" name="Waste_Pct" vbProcedure="false">Setup!$C$24</definedName>
    <definedName function="false" hidden="false" name="WeightIdx" vbProcedure="false">Setup!$C$19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<sst xmlns="http://schemas.openxmlformats.org/spreadsheetml/2006/main" count="592" uniqueCount="316">
  <si>
    <t xml:space="preserve">Sewing Thread Consumption – Master Sheet</t>
  </si>
  <si>
    <t xml:space="preserve">One workbook replacing the three ANECALC calculators (Light, Medium, Heavy weight fabrics) with a single dynamic model.</t>
  </si>
  <si>
    <t xml:space="preserve">How to use (3 steps)</t>
  </si>
  <si>
    <t xml:space="preserve">1. Setup</t>
  </si>
  <si>
    <t xml:space="preserve">Choose the fabric weight class (Light / Medium / Heavy / Custom), confirm seam thickness, waste %, program size, and list your thread SKUs with put-up length and price per cone.</t>
  </si>
  <si>
    <t xml:space="preserve">2. Operations</t>
  </si>
  <si>
    <t xml:space="preserve">For each operation pick a stitch type, enter rows, SPI and seam length in cm (or quantity for bartacks / buttonholes / button sew / embroidery), then pick the thread SKU for each thread position. Each row shows a status: ✔ OK or ⚠ with what to fix.</t>
  </si>
  <si>
    <t xml:space="preserve">3. Read the results</t>
  </si>
  <si>
    <t xml:space="preserve">Thread Order = metres, cones and cost per thread SKU. Dashboard = KPIs, split by thread position / stitch category, and a what-if table showing the same garment on Light, Medium, Heavy and Custom fabric.</t>
  </si>
  <si>
    <t xml:space="preserve">What makes it dynamic</t>
  </si>
  <si>
    <t xml:space="preserve">Fabric weight switch</t>
  </si>
  <si>
    <t xml:space="preserve">Change one cell on Setup and every factor, thread split and total recalculates. Seam thickness for each class is editable; 'Custom' lets you type any thickness.</t>
  </si>
  <si>
    <t xml:space="preserve">SPI interpolation</t>
  </si>
  <si>
    <t xml:space="preserve">Decimal SPI (e.g. 11.5) is interpolated between neighbouring SPI columns. Out-of-range SPI is flagged with the valid range for that stitch.</t>
  </si>
  <si>
    <t xml:space="preserve">Auto-checks</t>
  </si>
  <si>
    <t xml:space="preserve">Missing stitch / length / SPI, thread positions with no SKU, more than 3 rows of needle thread, unassigned metres and thread SKUs missing from the library are all flagged; Thread Order reconciles back to Operations.</t>
  </si>
  <si>
    <t xml:space="preserve">What-if sensitivity</t>
  </si>
  <si>
    <t xml:space="preserve">Hidden helper columns on Operations (AB:AK, expand with [+]) recompute every row at all four fabric weights so the Dashboard can compare them side by side.</t>
  </si>
  <si>
    <t xml:space="preserve">Editable libraries</t>
  </si>
  <si>
    <t xml:space="preserve">Stitch Library holds the needle / bobbin / looper / cover splits per fabric weight; Engine holds the factor tables (thread length ÷ seam length) – both can be adjusted.</t>
  </si>
  <si>
    <t xml:space="preserve">Colour code</t>
  </si>
  <si>
    <t xml:space="preserve">Blue text, yellow fill</t>
  </si>
  <si>
    <t xml:space="preserve">Input – safe to edit.</t>
  </si>
  <si>
    <t xml:space="preserve">Blue text, white fill</t>
  </si>
  <si>
    <t xml:space="preserve">Hard-coded source value from the ANECALC files (library data) – edit only if you have better data.</t>
  </si>
  <si>
    <t xml:space="preserve">Black text</t>
  </si>
  <si>
    <t xml:space="preserve">Formula – do not overwrite.</t>
  </si>
  <si>
    <t xml:space="preserve">Green text</t>
  </si>
  <si>
    <t xml:space="preserve">Direct link to another sheet.</t>
  </si>
  <si>
    <t xml:space="preserve">How the maths works  (same engine as ANECALC)</t>
  </si>
  <si>
    <t xml:space="preserve">Thread factor</t>
  </si>
  <si>
    <t xml:space="preserve">Factor = thread length ÷ seam length for the chosen stitch type, SPI and seam thickness (t). Examples: 301 lockstitch = 2 + 2·t·SPI;  401 chainstitch = 4 + 2·t·SPI;  504 overedge = 4·SPI·(width + t) + 5  (t in inches).</t>
  </si>
  <si>
    <t xml:space="preserve">Operation metres</t>
  </si>
  <si>
    <t xml:space="preserve">Total m = seam length (cm) ÷ 100 × factor × rows.  For piece-based items the factor is cm of thread per piece, so enter the quantity instead of a length.</t>
  </si>
  <si>
    <t xml:space="preserve">Split by position</t>
  </si>
  <si>
    <t xml:space="preserve">Needle m = total × needle share (÷ rows when 1–3 rows allowed, so each row can use its own thread), bobbin / looper / cover = total × their shares.</t>
  </si>
  <si>
    <t xml:space="preserve">Waste, cones, cost</t>
  </si>
  <si>
    <t xml:space="preserve">Incl. waste = net × (1 + waste %).  Cones = program size × metres ÷ put-up.  Cost per garment = metres incl. waste × price per cone ÷ put-up.</t>
  </si>
  <si>
    <t xml:space="preserve">Reconciliation with the three source files  (please review)</t>
  </si>
  <si>
    <t xml:space="preserve">401 chainstitch formula</t>
  </si>
  <si>
    <t xml:space="preserve">Heavy file uses 4 + 2·t·SPI. Light and Medium files use 4 × 2 · t·SPI (= 8·t·SPI, no constant), which gives roughly 30–40% less thread and looks like a '+' typed as '×'. This master defaults to the corrected formula for all weights. Setup ▸ '401 chainstitch formula' = Original reproduces the Light/Medium file numbers. It also drives 515/401, 516/401, 'Both' safety stitches and 524.</t>
  </si>
  <si>
    <t xml:space="preserve">404 zigzag chain</t>
  </si>
  <si>
    <t xml:space="preserve">In the Heavy and Light files the SPI 9 and 10 cells point at the wrong row (a 103 blindstitch value instead of SPI). Rebuilt consistently with the Medium file formula.</t>
  </si>
  <si>
    <t xml:space="preserve">515/503 safety stitch</t>
  </si>
  <si>
    <t xml:space="preserve">Light file adds a 304 zigzag term for SPI 6+ but not SPI 5. Heavy and Medium use 503 3/16" only; this master follows them for all weights.</t>
  </si>
  <si>
    <t xml:space="preserve">Differences kept as in the source</t>
  </si>
  <si>
    <t xml:space="preserve">516/504 uses the 1/4" overedge in the Heavy and Light files but 3/16" in the Medium file; 411 picoetta is hard-coded in Heavy / Light but formula-driven in Medium; lockstitch SPI 2–4 and all piece-based values differ per weight, as in the originals.</t>
  </si>
  <si>
    <t xml:space="preserve">524 stitches</t>
  </si>
  <si>
    <t xml:space="preserve">Only in the Medium file (= 401 + 514). Added for all weights using each weight's own 401 and 514 rows; Medium thread split used for all weights.</t>
  </si>
  <si>
    <t xml:space="preserve">Piece-based items</t>
  </si>
  <si>
    <t xml:space="preserve">Bartack, button sew, buttonhole, embroidery and cap eyelet carry a fixed thread amount per piece. Interpreted as cm of thread per piece (the original formula divides a 'length' by 100, so entering quantity gives metres) – please confirm against your A&amp;E help guide.</t>
  </si>
  <si>
    <t xml:space="preserve">Not carried over</t>
  </si>
  <si>
    <t xml:space="preserve">The Help Guide and ISO stitch-matrix pictures in the originals are images only and are not included. The original Light/Heavy price table has 11 thread slots; this one has 15, and the operations table has 80 rows (originals: 40 / 160).</t>
  </si>
  <si>
    <t xml:space="preserve">Sample data</t>
  </si>
  <si>
    <t xml:space="preserve">Placeholders</t>
  </si>
  <si>
    <t xml:space="preserve">The sample garment, thread names, put-up and prices are illustrative only. Clear the yellow cells on Setup (thread library) and Operations to start your own style.</t>
  </si>
  <si>
    <t xml:space="preserve">Setup – project, fabric weight &amp; thread library</t>
  </si>
  <si>
    <t xml:space="preserve">Yellow cells with blue text are inputs. Everything else is calculated.</t>
  </si>
  <si>
    <t xml:space="preserve">1. Project details</t>
  </si>
  <si>
    <t xml:space="preserve">Company</t>
  </si>
  <si>
    <t xml:space="preserve">Sample Apparel Ltd.</t>
  </si>
  <si>
    <t xml:space="preserve">Garment description</t>
  </si>
  <si>
    <t xml:space="preserve">SAMPLE – Men's chino trouser (replace)</t>
  </si>
  <si>
    <t xml:space="preserve">Style / reference #</t>
  </si>
  <si>
    <t xml:space="preserve">STY-0001</t>
  </si>
  <si>
    <t xml:space="preserve">Prepared by</t>
  </si>
  <si>
    <t xml:space="preserve">Merchandising / Planning</t>
  </si>
  <si>
    <t xml:space="preserve">2. Fabric weight &amp; seam thickness</t>
  </si>
  <si>
    <t xml:space="preserve">Fabric weight class  (select)</t>
  </si>
  <si>
    <t xml:space="preserve">Medium</t>
  </si>
  <si>
    <t xml:space="preserve">Class</t>
  </si>
  <si>
    <t xml:space="preserve">Avg. seam thickness (mm)</t>
  </si>
  <si>
    <t xml:space="preserve">Source / basis</t>
  </si>
  <si>
    <t xml:space="preserve">Light</t>
  </si>
  <si>
    <t xml:space="preserve">ANECALC Light-Wt file (seam thickness cell Y3 = 1.2 mm)</t>
  </si>
  <si>
    <t xml:space="preserve">ANECALC Medium-Wt file (Y3 = 1.9 mm)</t>
  </si>
  <si>
    <t xml:space="preserve">Heavy</t>
  </si>
  <si>
    <t xml:space="preserve">ANECALC Heavy-Wt file (Y3 = 2.9 mm)</t>
  </si>
  <si>
    <t xml:space="preserve">Custom</t>
  </si>
  <si>
    <t xml:space="preserve">Your own thickness – uses Medium-Wt stitch geometry &amp; thread splits</t>
  </si>
  <si>
    <t xml:space="preserve">Active class #</t>
  </si>
  <si>
    <t xml:space="preserve">Active seam thickness (mm)</t>
  </si>
  <si>
    <t xml:space="preserve">Active seam thickness (inch)</t>
  </si>
  <si>
    <t xml:space="preserve">3. Global parameters</t>
  </si>
  <si>
    <t xml:space="preserve">Thread waste allowance (%)</t>
  </si>
  <si>
    <t xml:space="preserve">ANECALC default = 10%</t>
  </si>
  <si>
    <t xml:space="preserve">Program size (garments)</t>
  </si>
  <si>
    <t xml:space="preserve">ANECALC default = 10,000 units</t>
  </si>
  <si>
    <t xml:space="preserve">Currency label</t>
  </si>
  <si>
    <t xml:space="preserve">US $</t>
  </si>
  <si>
    <t xml:space="preserve">401 chainstitch formula (Light / Medium / Custom)</t>
  </si>
  <si>
    <t xml:space="preserve">Corrected</t>
  </si>
  <si>
    <t xml:space="preserve">Corrected = 4 + 2·t·SPI (as in Heavy file).  Original = 8·t·SPI (as typed in Light &amp; Medium files).  See Guide.</t>
  </si>
  <si>
    <t xml:space="preserve">4. Thread library  (feeds every thread drop-down on the Operations sheet)</t>
  </si>
  <si>
    <t xml:space="preserve">Thread description  (size / tex, brand, colour)</t>
  </si>
  <si>
    <t xml:space="preserve">Put-up (m per cone)</t>
  </si>
  <si>
    <t xml:space="preserve">Price per cone</t>
  </si>
  <si>
    <t xml:space="preserve">Price per metre</t>
  </si>
  <si>
    <t xml:space="preserve">Tex 40 Spun Poly – Khaki (needle)</t>
  </si>
  <si>
    <t xml:space="preserve">Tex 60 Spun Poly – Khaki (bobbin / looper)</t>
  </si>
  <si>
    <t xml:space="preserve">Tex 27 Core Poly – Khaki (bartack / buttonhole)</t>
  </si>
  <si>
    <t xml:space="preserve">Sample thread names and prices above are illustrative placeholders – overwrite with your supplier data.</t>
  </si>
  <si>
    <t xml:space="preserve">Operations – thread consumption by operation</t>
  </si>
  <si>
    <t xml:space="preserve">Fill the yellow cells (blue text). Pick a stitch type, enter SPI, rows and seam length (cm) – or quantity for bartacks / buttonholes / embroidery. Pick thread SKUs for each thread position.</t>
  </si>
  <si>
    <t xml:space="preserve">Fabric weight</t>
  </si>
  <si>
    <t xml:space="preserve">Operations costed</t>
  </si>
  <si>
    <t xml:space="preserve">Thread / garment (m)</t>
  </si>
  <si>
    <t xml:space="preserve">Incl. waste (m)</t>
  </si>
  <si>
    <t xml:space="preserve">Thread cost / garment</t>
  </si>
  <si>
    <t xml:space="preserve">Check</t>
  </si>
  <si>
    <t xml:space="preserve">Legend:  yellow / blue = input   |   black = formula   |   grey SPI = not needed (piece-based item)   |   ⚠ = fix before using the result</t>
  </si>
  <si>
    <t xml:space="preserve">Rows 1–3 of stitching: the needle thread is split equally across Needle 1–3 positions. Sample operations shown are illustrative – overwrite or clear the yellow cells.</t>
  </si>
  <si>
    <t xml:space="preserve">OPERATION INPUTS</t>
  </si>
  <si>
    <t xml:space="preserve">LENGTH &amp; CONSUMPTION</t>
  </si>
  <si>
    <t xml:space="preserve">THREAD SPLIT (from library)</t>
  </si>
  <si>
    <t xml:space="preserve">THREAD ASSIGNMENT &amp; METRES</t>
  </si>
  <si>
    <t xml:space="preserve">CHECKS</t>
  </si>
  <si>
    <t xml:space="preserve">HELPERS (grouped – expand with [+])</t>
  </si>
  <si>
    <t xml:space="preserve">Op #</t>
  </si>
  <si>
    <t xml:space="preserve">Operation name</t>
  </si>
  <si>
    <t xml:space="preserve">Stitch type  (drop-down)</t>
  </si>
  <si>
    <t xml:space="preserve">Rows of stitch</t>
  </si>
  <si>
    <t xml:space="preserve">SPI</t>
  </si>
  <si>
    <t xml:space="preserve">Seam length (cm)  or  Qty (pcs)</t>
  </si>
  <si>
    <t xml:space="preserve">Unit</t>
  </si>
  <si>
    <t xml:space="preserve">Thread factor used</t>
  </si>
  <si>
    <t xml:space="preserve">Total thread  m / garment</t>
  </si>
  <si>
    <t xml:space="preserve">Needle %</t>
  </si>
  <si>
    <t xml:space="preserve">Bobbin %</t>
  </si>
  <si>
    <t xml:space="preserve">Looper %</t>
  </si>
  <si>
    <t xml:space="preserve">Cover %</t>
  </si>
  <si>
    <t xml:space="preserve">Needle 1 thread</t>
  </si>
  <si>
    <t xml:space="preserve">Needle 1  m</t>
  </si>
  <si>
    <t xml:space="preserve">Needle 2 thread</t>
  </si>
  <si>
    <t xml:space="preserve">Needle 2  m</t>
  </si>
  <si>
    <t xml:space="preserve">Needle 3 thread</t>
  </si>
  <si>
    <t xml:space="preserve">Needle 3  m</t>
  </si>
  <si>
    <t xml:space="preserve">Bobbin thread</t>
  </si>
  <si>
    <t xml:space="preserve">Bobbin  m</t>
  </si>
  <si>
    <t xml:space="preserve">Looper thread</t>
  </si>
  <si>
    <t xml:space="preserve">Looper  m</t>
  </si>
  <si>
    <t xml:space="preserve">Cover thread</t>
  </si>
  <si>
    <t xml:space="preserve">Cover  m</t>
  </si>
  <si>
    <t xml:space="preserve">Unassigned  m</t>
  </si>
  <si>
    <t xml:space="preserve">Status</t>
  </si>
  <si>
    <t xml:space="preserve">Library #</t>
  </si>
  <si>
    <t xml:space="preserve">SPI used</t>
  </si>
  <si>
    <t xml:space="preserve">SPI floor</t>
  </si>
  <si>
    <t xml:space="preserve">SPI fraction</t>
  </si>
  <si>
    <t xml:space="preserve">Multi-row?</t>
  </si>
  <si>
    <t xml:space="preserve">Category</t>
  </si>
  <si>
    <t xml:space="preserve">m @ Light</t>
  </si>
  <si>
    <t xml:space="preserve">m @ Medium</t>
  </si>
  <si>
    <t xml:space="preserve">m @ Heavy</t>
  </si>
  <si>
    <t xml:space="preserve">m @ Custom</t>
  </si>
  <si>
    <t xml:space="preserve">Front pocket topstitch</t>
  </si>
  <si>
    <t xml:space="preserve">301 Lockstitch</t>
  </si>
  <si>
    <t xml:space="preserve">Back pocket attach</t>
  </si>
  <si>
    <t xml:space="preserve">Side seam – overedge</t>
  </si>
  <si>
    <t xml:space="preserve">504 1/4" 1 Ndl Overedge</t>
  </si>
  <si>
    <t xml:space="preserve">Inseam</t>
  </si>
  <si>
    <t xml:space="preserve">401 Chainstitch</t>
  </si>
  <si>
    <t xml:space="preserve">Waistband attach</t>
  </si>
  <si>
    <t xml:space="preserve">Hem – blind stitch</t>
  </si>
  <si>
    <t xml:space="preserve">103 Blindstitch</t>
  </si>
  <si>
    <t xml:space="preserve">Belt-loop bartacks (7 pcs)</t>
  </si>
  <si>
    <t xml:space="preserve">Bartack 3/8"</t>
  </si>
  <si>
    <t xml:space="preserve">Waistband buttonhole</t>
  </si>
  <si>
    <t xml:space="preserve">BH 3/4"</t>
  </si>
  <si>
    <t xml:space="preserve">Button sew – 4 hole</t>
  </si>
  <si>
    <t xml:space="preserve">BS 4 hole</t>
  </si>
  <si>
    <t xml:space="preserve">TOTAL  (metres per garment, before waste)</t>
  </si>
  <si>
    <t xml:space="preserve">Thread order &amp; cost – per garment and for the program</t>
  </si>
  <si>
    <t xml:space="preserve">Pulls every thread assigned on the Operations sheet, adds waste, converts to cones and cost.</t>
  </si>
  <si>
    <t xml:space="preserve">#</t>
  </si>
  <si>
    <t xml:space="preserve">Thread description</t>
  </si>
  <si>
    <t xml:space="preserve">Net thread
m / garment</t>
  </si>
  <si>
    <t xml:space="preserve">Waste
m / garment</t>
  </si>
  <si>
    <t xml:space="preserve">Total incl. waste
m / garment</t>
  </si>
  <si>
    <t xml:space="preserve">Share of
total</t>
  </si>
  <si>
    <t xml:space="preserve">Put-up
(m / cone)</t>
  </si>
  <si>
    <t xml:space="preserve">Price per
cone</t>
  </si>
  <si>
    <t xml:space="preserve">Price per
metre</t>
  </si>
  <si>
    <t xml:space="preserve">Thread cost
per garment</t>
  </si>
  <si>
    <t xml:space="preserve">Cones for
program (exact)</t>
  </si>
  <si>
    <t xml:space="preserve">Cones
(rounded up)</t>
  </si>
  <si>
    <t xml:space="preserve">Order value
(rounded cones)</t>
  </si>
  <si>
    <t xml:space="preserve">TOTAL</t>
  </si>
  <si>
    <t xml:space="preserve">Integrity checks</t>
  </si>
  <si>
    <t xml:space="preserve">Metres on Operations sheet (net)</t>
  </si>
  <si>
    <t xml:space="preserve">Metres not assigned to any thread</t>
  </si>
  <si>
    <t xml:space="preserve">Metres assigned to threads missing from this table</t>
  </si>
  <si>
    <t xml:space="preserve">Cost currency:</t>
  </si>
  <si>
    <t xml:space="preserve">Program size (garments):</t>
  </si>
  <si>
    <t xml:space="preserve">Waste allowance:</t>
  </si>
  <si>
    <t xml:space="preserve">Dashboard – sewing thread consumption</t>
  </si>
  <si>
    <t xml:space="preserve">Thread / garment, net (m)</t>
  </si>
  <si>
    <t xml:space="preserve">Cones for program</t>
  </si>
  <si>
    <t xml:space="preserve">Data check</t>
  </si>
  <si>
    <t xml:space="preserve">Thread by position (net m / garment)</t>
  </si>
  <si>
    <t xml:space="preserve">Position</t>
  </si>
  <si>
    <t xml:space="preserve">Metres</t>
  </si>
  <si>
    <t xml:space="preserve">Share</t>
  </si>
  <si>
    <t xml:space="preserve">Needle (all)</t>
  </si>
  <si>
    <t xml:space="preserve">Bobbin</t>
  </si>
  <si>
    <t xml:space="preserve">Looper</t>
  </si>
  <si>
    <t xml:space="preserve">Cover</t>
  </si>
  <si>
    <t xml:space="preserve">Thread by stitch category (net m / garment)</t>
  </si>
  <si>
    <t xml:space="preserve">Blind / saddle stitch</t>
  </si>
  <si>
    <t xml:space="preserve">Chainstitch</t>
  </si>
  <si>
    <t xml:space="preserve">Lockstitch / zigzag</t>
  </si>
  <si>
    <t xml:space="preserve">Bottom cover</t>
  </si>
  <si>
    <t xml:space="preserve">Overlock / overedge</t>
  </si>
  <si>
    <t xml:space="preserve">Safety stitch / combination</t>
  </si>
  <si>
    <t xml:space="preserve">Coverstitch</t>
  </si>
  <si>
    <t xml:space="preserve">Bartack</t>
  </si>
  <si>
    <t xml:space="preserve">Button sew</t>
  </si>
  <si>
    <t xml:space="preserve">Buttonhole</t>
  </si>
  <si>
    <t xml:space="preserve">Embroidery</t>
  </si>
  <si>
    <t xml:space="preserve">Other</t>
  </si>
  <si>
    <t xml:space="preserve">Fabric-weight sensitivity – same operations, different fabric</t>
  </si>
  <si>
    <t xml:space="preserve">Fabric class</t>
  </si>
  <si>
    <t xml:space="preserve">Seam thickness (mm)</t>
  </si>
  <si>
    <t xml:space="preserve">Net m / garment</t>
  </si>
  <si>
    <t xml:space="preserve">vs active</t>
  </si>
  <si>
    <t xml:space="preserve">Green row = fabric class currently selected on Setup.</t>
  </si>
  <si>
    <t xml:space="preserve">Stitch library – ISO stitch types, thread split by role, SPI coverage</t>
  </si>
  <si>
    <t xml:space="preserve">Needle / bobbin / looper / cover split = share of each operation's thread that goes to that thread position. Edit the blue splits to fit your machines.</t>
  </si>
  <si>
    <t xml:space="preserve">Light split</t>
  </si>
  <si>
    <t xml:space="preserve">Medium split</t>
  </si>
  <si>
    <t xml:space="preserve">Heavy split</t>
  </si>
  <si>
    <t xml:space="preserve">Custom split</t>
  </si>
  <si>
    <t xml:space="preserve">ACTIVE split (selected weight)</t>
  </si>
  <si>
    <t xml:space="preserve">Stitch type</t>
  </si>
  <si>
    <t xml:space="preserve">Basis</t>
  </si>
  <si>
    <t xml:space="preserve">Needle</t>
  </si>
  <si>
    <t xml:space="preserve">Split sum</t>
  </si>
  <si>
    <t xml:space="preserve">Min SPI</t>
  </si>
  <si>
    <t xml:space="preserve">Max SPI</t>
  </si>
  <si>
    <t xml:space="preserve">Seam</t>
  </si>
  <si>
    <t xml:space="preserve">Y</t>
  </si>
  <si>
    <t xml:space="preserve">108 (1.2mm) Saddlestitch</t>
  </si>
  <si>
    <t xml:space="preserve">108 (3mm) Saddlestitch</t>
  </si>
  <si>
    <t xml:space="preserve">108 (5mm) Saddlestitch</t>
  </si>
  <si>
    <t xml:space="preserve">201 Saddle Stitch</t>
  </si>
  <si>
    <t xml:space="preserve">101 Single Needle Chain</t>
  </si>
  <si>
    <t xml:space="preserve">304 1/8" ZigZag</t>
  </si>
  <si>
    <t xml:space="preserve">304 3/16"m ZigZag</t>
  </si>
  <si>
    <t xml:space="preserve">304 1/4" ZigZag</t>
  </si>
  <si>
    <t xml:space="preserve">308 (2) Step Zig Zag</t>
  </si>
  <si>
    <t xml:space="preserve">315 (3) Step Zig Zag</t>
  </si>
  <si>
    <t xml:space="preserve">322 (4) Step Zig Zag</t>
  </si>
  <si>
    <t xml:space="preserve">404 ZigZag Chain</t>
  </si>
  <si>
    <t xml:space="preserve">406 1/8"m Btm Cover</t>
  </si>
  <si>
    <t xml:space="preserve">406 3/16" Btm Cover</t>
  </si>
  <si>
    <t xml:space="preserve">406 1/4" Btm Cover</t>
  </si>
  <si>
    <t xml:space="preserve">407 3Ndl Btm Cover</t>
  </si>
  <si>
    <t xml:space="preserve">408 Pkt Facings</t>
  </si>
  <si>
    <t xml:space="preserve">411 Picoetta Stitch</t>
  </si>
  <si>
    <t xml:space="preserve">503 1/8" 2Thd Serge</t>
  </si>
  <si>
    <t xml:space="preserve">503 3/16" 2 Thd Serge</t>
  </si>
  <si>
    <t xml:space="preserve">503 1/4" 2 Thd Serge</t>
  </si>
  <si>
    <t xml:space="preserve">504 1/8" 1 Ndl Overedge</t>
  </si>
  <si>
    <t xml:space="preserve">504 3/16" 1 Ndl Overedge</t>
  </si>
  <si>
    <t xml:space="preserve">512 (3/16) 2 Ndl Overedge</t>
  </si>
  <si>
    <t xml:space="preserve">512 (1/4) 2 Ndl Overedge</t>
  </si>
  <si>
    <t xml:space="preserve">512 (5/16) 2 Ndl Overedge</t>
  </si>
  <si>
    <t xml:space="preserve">514 (3/16") 2 Ndl Overedge</t>
  </si>
  <si>
    <t xml:space="preserve">N</t>
  </si>
  <si>
    <t xml:space="preserve">514 (1/4") 2 Ndl Overedge</t>
  </si>
  <si>
    <t xml:space="preserve">514 (5/16") 2 Ndl Overedge</t>
  </si>
  <si>
    <t xml:space="preserve">515/401 Safetystitch Chain</t>
  </si>
  <si>
    <t xml:space="preserve">515/503 SafetyS Overedge</t>
  </si>
  <si>
    <t xml:space="preserve">515 /Both Safetystitch</t>
  </si>
  <si>
    <t xml:space="preserve">516 / 401 SafetyS Chain</t>
  </si>
  <si>
    <t xml:space="preserve">516 / 504 SafetyS Overedge</t>
  </si>
  <si>
    <t xml:space="preserve">516 /Both Safetystitch</t>
  </si>
  <si>
    <t xml:space="preserve">517 / 301 SafetyS Lockstitch</t>
  </si>
  <si>
    <t xml:space="preserve">517 / 504 SafetyS Overedge</t>
  </si>
  <si>
    <t xml:space="preserve">524 (3/16") / 401 &amp; 514 Stitch</t>
  </si>
  <si>
    <t xml:space="preserve">524 (1/4") / 401 &amp; 514 Stitch</t>
  </si>
  <si>
    <t xml:space="preserve">524 (5/16") / 401 &amp; 514 Stitch</t>
  </si>
  <si>
    <t xml:space="preserve">602 1/8" 2 Ndl Coverstitch</t>
  </si>
  <si>
    <t xml:space="preserve">602 3/16"m 2 Ndl Coverstitch</t>
  </si>
  <si>
    <t xml:space="preserve">602 1/4" 2 Ndl Coverstitch</t>
  </si>
  <si>
    <t xml:space="preserve">605 3 Ndl Coverstitch</t>
  </si>
  <si>
    <t xml:space="preserve">607 4 Ndl Coverstitch</t>
  </si>
  <si>
    <t xml:space="preserve">Piece</t>
  </si>
  <si>
    <t xml:space="preserve">Bartack 1/2"</t>
  </si>
  <si>
    <t xml:space="preserve">Bartack 3/4"</t>
  </si>
  <si>
    <t xml:space="preserve">BS 2 hole</t>
  </si>
  <si>
    <t xml:space="preserve">BH 5/8"</t>
  </si>
  <si>
    <t xml:space="preserve">BH Gimp 5/8"</t>
  </si>
  <si>
    <t xml:space="preserve">BH Gimp 3/4"</t>
  </si>
  <si>
    <t xml:space="preserve">BH 1"</t>
  </si>
  <si>
    <t xml:space="preserve">BH Gimp 1"</t>
  </si>
  <si>
    <t xml:space="preserve">Embroidery = 350</t>
  </si>
  <si>
    <t xml:space="preserve">Embroidery = 500</t>
  </si>
  <si>
    <t xml:space="preserve">Embroidery = 1000</t>
  </si>
  <si>
    <t xml:space="preserve">Embroidery = 1500</t>
  </si>
  <si>
    <t xml:space="preserve">Embroidery = 2000</t>
  </si>
  <si>
    <t xml:space="preserve">Embroidery = 2500</t>
  </si>
  <si>
    <t xml:space="preserve">Embroidery = 3000</t>
  </si>
  <si>
    <t xml:space="preserve">Cap Eyelet Stitch (5/16")</t>
  </si>
  <si>
    <t xml:space="preserve">Basis: 'Seam' = thread factor × seam length (cm).  'Piece' = fixed thread (cm) per piece – enter the QUANTITY in the length column on Operations.</t>
  </si>
  <si>
    <t xml:space="preserve">Multi-row = 'Y' lets the Rows input split needle thread across up to 3 needle-thread positions (1–3 rows).</t>
  </si>
  <si>
    <t xml:space="preserve">Light / Medium / Heavy splits are copied from the three ANECALC files. 524 stitches (absent from Light &amp; Heavy files) use the Medium split for all weights.</t>
  </si>
  <si>
    <t xml:space="preserve">Engine – thread factor tables (thread length ÷ seam length) by stitch type and SPI, for each fabric weight</t>
  </si>
  <si>
    <t xml:space="preserve">Rebuilt from the 'Formulas H / L / M' sheets of the three ANECALC files. Blue = hard-coded source values; black = formulas driven by seam thickness (t, inches) and SPI. Do not edit unless you know why.</t>
  </si>
  <si>
    <t xml:space="preserve">LIGHT WEIGHT BLOCK</t>
  </si>
  <si>
    <t xml:space="preserve">Seam thickness (mm) – from Setup</t>
  </si>
  <si>
    <t xml:space="preserve">Seam thickness (inch)  = t</t>
  </si>
  <si>
    <t xml:space="preserve">Stitch type  \  SPI →</t>
  </si>
  <si>
    <t xml:space="preserve">MEDIUM WEIGHT BLOCK</t>
  </si>
  <si>
    <t xml:space="preserve">HEAVY WEIGHT BLOCK</t>
  </si>
  <si>
    <t xml:space="preserve">CUSTOM WEIGHT BLOCK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</si>
</sst>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"/>
    <numFmt numFmtId="166" formatCode="0"/>
    <numFmt numFmtId="167" formatCode="0.0000"/>
    <numFmt numFmtId="168" formatCode="0.0%"/>
    <numFmt numFmtId="169" formatCode="#,##0"/>
    <numFmt numFmtId="170" formatCode="#,##0.00"/>
    <numFmt numFmtId="171" formatCode="0.000000"/>
    <numFmt numFmtId="172" formatCode="#,##0.0000"/>
    <numFmt numFmtId="173" formatCode="0.0"/>
    <numFmt numFmtId="174" formatCode="#,##0.0"/>
    <numFmt numFmtId="175" formatCode="0.000;\-0.000;;@"/>
    <numFmt numFmtId="176" formatCode="#,##0.000;\-#,##0.000;;@"/>
    <numFmt numFmtId="177" formatCode="0%"/>
    <numFmt numFmtId="178" formatCode="#,##0.000"/>
    <numFmt numFmtId="179" formatCode="\+0.0%;\-0.0%;\–"/>
    <numFmt numFmtId="180" formatCode="0.0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7A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7A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007A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007A33"/>
      </font>
    </dxf>
    <dxf>
      <font>
        <name val="Arial"/>
        <charset val="1"/>
        <family val="0"/>
        <color rgb="FF808080"/>
      </font>
      <fill>
        <patternFill>
          <bgColor rgb="FFD9D9D9"/>
        </patternFill>
      </fill>
    </dxf>
    <dxf>
      <fill>
        <patternFill>
          <bgColor rgb="FFFCE4D6"/>
        </patternFill>
      </fill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</font>
      <fill>
        <patternFill>
          <bgColor rgb="FFE2EFDA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7A33"/>
      <rgbColor rgb="FF000080"/>
      <rgbColor rgb="FF548235"/>
      <rgbColor rgb="FF800080"/>
      <rgbColor rgb="FF008080"/>
      <rgbColor rgb="FFBFBFBF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F9F9F9"/>
      <rgbColor rgb="FFFF99CC"/>
      <rgbColor rgb="FFCC99FF"/>
      <rgbColor rgb="FFF8CBAD"/>
      <rgbColor rgb="FF4F81BD"/>
      <rgbColor rgb="FF33CCCC"/>
      <rgbColor rgb="FF9BBB59"/>
      <rgbColor rgb="FFFFCC00"/>
      <rgbColor rgb="FFBF9000"/>
      <rgbColor rgb="FFC55A11"/>
      <rgbColor rgb="FF8064A2"/>
      <rgbColor rgb="FF878787"/>
      <rgbColor rgb="FF1F3864"/>
      <rgbColor rgb="FF7F7F7F"/>
      <rgbColor rgb="FF003300"/>
      <rgbColor rgb="FF333300"/>
      <rgbColor rgb="FF993300"/>
      <rgbColor rgb="FF993366"/>
      <rgbColor rgb="FF2F5597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Thread incl. waste by SKU (m / garment)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'Thread Order'!$B$6:$B$20</c:f>
              <c:strCache>
                <c:ptCount val="15"/>
                <c:pt idx="0">
                  <c:v>Tex 40 Spun Poly – Khaki (needle)</c:v>
                </c:pt>
                <c:pt idx="1">
                  <c:v>Tex 60 Spun Poly – Khaki (bobbin / looper)</c:v>
                </c:pt>
                <c:pt idx="2">
                  <c:v>Tex 27 Core Poly – Khaki (bartack / buttonhole)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'Thread Order'!$E$6:$E$20</c:f>
              <c:numCache>
                <c:formatCode>#,##0.000</c:formatCode>
                <c:ptCount val="15"/>
                <c:pt idx="0">
                  <c:v>25.2750274015748</c:v>
                </c:pt>
                <c:pt idx="1">
                  <c:v>42.7415930708661</c:v>
                </c:pt>
                <c:pt idx="2">
                  <c:v>1.562</c:v>
                </c:pt>
              </c:numCache>
            </c:numRef>
          </c:val>
        </c:ser>
        <c:gapWidth val="150"/>
        <c:overlap val="0"/>
        <c:axId val="101565"/>
        <c:axId val="55040077"/>
      </c:barChart>
      <c:catAx>
        <c:axId val="10156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40077"/>
        <c:crosses val="autoZero"/>
        <c:auto val="1"/>
        <c:lblAlgn val="ctr"/>
        <c:lblOffset val="100"/>
        <c:noMultiLvlLbl val="0"/>
      </c:catAx>
      <c:valAx>
        <c:axId val="55040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5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thread by 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Dashboard!$B$10:$B$13</c:f>
              <c:strCache>
                <c:ptCount val="4"/>
                <c:pt idx="0">
                  <c:v>Needle (all)</c:v>
                </c:pt>
                <c:pt idx="1">
                  <c:v>Bobbin</c:v>
                </c:pt>
                <c:pt idx="2">
                  <c:v>Looper</c:v>
                </c:pt>
                <c:pt idx="3">
                  <c:v>Cover</c:v>
                </c:pt>
              </c:strCache>
            </c:strRef>
          </c:cat>
          <c:val>
            <c:numRef>
              <c:f>Dashboard!$C$10:$C$13</c:f>
              <c:numCache>
                <c:formatCode>#,##0.000</c:formatCode>
                <c:ptCount val="4"/>
                <c:pt idx="0">
                  <c:v>24.0608976377953</c:v>
                </c:pt>
                <c:pt idx="1">
                  <c:v>6.01144881889764</c:v>
                </c:pt>
                <c:pt idx="2">
                  <c:v>33.1809448818898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thread by stitch category (m / garment)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Dashboard!$B$18:$B$29</c:f>
              <c:strCache>
                <c:ptCount val="12"/>
                <c:pt idx="0">
                  <c:v>Blind / saddle stitch</c:v>
                </c:pt>
                <c:pt idx="1">
                  <c:v>Chainstitch</c:v>
                </c:pt>
                <c:pt idx="2">
                  <c:v>Lockstitch / zigzag</c:v>
                </c:pt>
                <c:pt idx="3">
                  <c:v>Bottom cover</c:v>
                </c:pt>
                <c:pt idx="4">
                  <c:v>Overlock / overedge</c:v>
                </c:pt>
                <c:pt idx="5">
                  <c:v>Safety stitch / combination</c:v>
                </c:pt>
                <c:pt idx="6">
                  <c:v>Coverstitch</c:v>
                </c:pt>
                <c:pt idx="7">
                  <c:v>Bartack</c:v>
                </c:pt>
                <c:pt idx="8">
                  <c:v>Button sew</c:v>
                </c:pt>
                <c:pt idx="9">
                  <c:v>Buttonhole</c:v>
                </c:pt>
                <c:pt idx="10">
                  <c:v>Embroidery</c:v>
                </c:pt>
                <c:pt idx="11">
                  <c:v>Other</c:v>
                </c:pt>
              </c:strCache>
            </c:strRef>
          </c:cat>
          <c:val>
            <c:numRef>
              <c:f>Dashboard!$C$18:$C$29</c:f>
              <c:numCache>
                <c:formatCode>#,##0.000</c:formatCode>
                <c:ptCount val="12"/>
                <c:pt idx="0">
                  <c:v>4.224</c:v>
                </c:pt>
                <c:pt idx="1">
                  <c:v>8.24409448818898</c:v>
                </c:pt>
                <c:pt idx="2">
                  <c:v>11.5817322834646</c:v>
                </c:pt>
                <c:pt idx="3">
                  <c:v>0</c:v>
                </c:pt>
                <c:pt idx="4">
                  <c:v>37.7834645669291</c:v>
                </c:pt>
                <c:pt idx="5">
                  <c:v>0</c:v>
                </c:pt>
                <c:pt idx="6">
                  <c:v>0</c:v>
                </c:pt>
                <c:pt idx="7">
                  <c:v>0.98</c:v>
                </c:pt>
                <c:pt idx="8">
                  <c:v>0.14</c:v>
                </c:pt>
                <c:pt idx="9">
                  <c:v>0.3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24009"/>
        <c:axId val="2171358"/>
      </c:barChart>
      <c:catAx>
        <c:axId val="9240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1358"/>
        <c:crosses val="autoZero"/>
        <c:auto val="1"/>
        <c:lblAlgn val="ctr"/>
        <c:lblOffset val="100"/>
        <c:noMultiLvlLbl val="0"/>
      </c:catAx>
      <c:valAx>
        <c:axId val="2171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0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Fabric-weight sensitivity: net m / garment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Dashboard!$B$33:$B$36</c:f>
              <c:strCache>
                <c:ptCount val="4"/>
                <c:pt idx="0">
                  <c:v>Light</c:v>
                </c:pt>
                <c:pt idx="1">
                  <c:v>Medium</c:v>
                </c:pt>
                <c:pt idx="2">
                  <c:v>Heavy</c:v>
                </c:pt>
                <c:pt idx="3">
                  <c:v>Custom</c:v>
                </c:pt>
              </c:strCache>
            </c:strRef>
          </c:cat>
          <c:val>
            <c:numRef>
              <c:f>Dashboard!$D$33:$D$36</c:f>
              <c:numCache>
                <c:formatCode>#,##0.000</c:formatCode>
                <c:ptCount val="4"/>
                <c:pt idx="0">
                  <c:v>57.9840787401575</c:v>
                </c:pt>
                <c:pt idx="1">
                  <c:v>63.2532913385827</c:v>
                </c:pt>
                <c:pt idx="2">
                  <c:v>71.1450236220473</c:v>
                </c:pt>
                <c:pt idx="3">
                  <c:v>66.924157480315</c:v>
                </c:pt>
              </c:numCache>
            </c:numRef>
          </c:val>
        </c:ser>
        <c:gapWidth val="150"/>
        <c:overlap val="0"/>
        <c:axId val="25374143"/>
        <c:axId val="49555857"/>
      </c:barChart>
      <c:catAx>
        <c:axId val="2537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55857"/>
        <c:crosses val="autoZero"/>
        <c:auto val="1"/>
        <c:lblAlgn val="ctr"/>
        <c:lblOffset val="100"/>
        <c:noMultiLvlLbl val="0"/>
      </c:catAx>
      <c:valAx>
        <c:axId val="49555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74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131040</xdr:rowOff>
    </xdr:from>
    <xdr:to>
      <xdr:col>15</xdr:col>
      <xdr:colOff>220320</xdr:colOff>
      <xdr:row>28</xdr:row>
      <xdr:rowOff>79560</xdr:rowOff>
    </xdr:to>
    <xdr:graphicFrame>
      <xdr:nvGraphicFramePr>
        <xdr:cNvPr id="0" name="Chart 1"/>
        <xdr:cNvGraphicFramePr/>
      </xdr:nvGraphicFramePr>
      <xdr:xfrm>
        <a:off x="7048440" y="1714680"/>
        <a:ext cx="5579640" cy="41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131040</xdr:rowOff>
    </xdr:from>
    <xdr:to>
      <xdr:col>12</xdr:col>
      <xdr:colOff>609840</xdr:colOff>
      <xdr:row>43</xdr:row>
      <xdr:rowOff>163800</xdr:rowOff>
    </xdr:to>
    <xdr:graphicFrame>
      <xdr:nvGraphicFramePr>
        <xdr:cNvPr id="1" name="Chart 2"/>
        <xdr:cNvGraphicFramePr/>
      </xdr:nvGraphicFramePr>
      <xdr:xfrm>
        <a:off x="7048440" y="628668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30</xdr:row>
      <xdr:rowOff>131040</xdr:rowOff>
    </xdr:from>
    <xdr:to>
      <xdr:col>23</xdr:col>
      <xdr:colOff>278640</xdr:colOff>
      <xdr:row>43</xdr:row>
      <xdr:rowOff>163800</xdr:rowOff>
    </xdr:to>
    <xdr:graphicFrame>
      <xdr:nvGraphicFramePr>
        <xdr:cNvPr id="2" name="Chart 3"/>
        <xdr:cNvGraphicFramePr/>
      </xdr:nvGraphicFramePr>
      <xdr:xfrm>
        <a:off x="12407760" y="62866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46</xdr:row>
      <xdr:rowOff>130680</xdr:rowOff>
    </xdr:from>
    <xdr:to>
      <xdr:col>15</xdr:col>
      <xdr:colOff>220320</xdr:colOff>
      <xdr:row>60</xdr:row>
      <xdr:rowOff>163440</xdr:rowOff>
    </xdr:to>
    <xdr:graphicFrame>
      <xdr:nvGraphicFramePr>
        <xdr:cNvPr id="3" name="Chart 4"/>
        <xdr:cNvGraphicFramePr/>
      </xdr:nvGraphicFramePr>
      <xdr:xfrm>
        <a:off x="7048440" y="9524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30" hidden="false" customHeight="true" outlineLevel="0" collapsed="false">
      <c r="B5" s="5" t="s">
        <v>3</v>
      </c>
      <c r="C5" s="6" t="s">
        <v>4</v>
      </c>
    </row>
    <row r="6" customFormat="false" ht="30" hidden="false" customHeight="true" outlineLevel="0" collapsed="false">
      <c r="B6" s="5" t="s">
        <v>5</v>
      </c>
      <c r="C6" s="6" t="s">
        <v>6</v>
      </c>
    </row>
    <row r="7" customFormat="false" ht="30" hidden="false" customHeight="true" outlineLevel="0" collapsed="false">
      <c r="B7" s="5" t="s">
        <v>7</v>
      </c>
      <c r="C7" s="6" t="s">
        <v>8</v>
      </c>
    </row>
    <row r="9" customFormat="false" ht="15" hidden="false" customHeight="false" outlineLevel="0" collapsed="false">
      <c r="B9" s="3" t="s">
        <v>9</v>
      </c>
      <c r="C9" s="4"/>
    </row>
    <row r="10" customFormat="false" ht="30" hidden="false" customHeight="true" outlineLevel="0" collapsed="false">
      <c r="B10" s="5" t="s">
        <v>10</v>
      </c>
      <c r="C10" s="6" t="s">
        <v>11</v>
      </c>
    </row>
    <row r="11" customFormat="false" ht="30" hidden="false" customHeight="true" outlineLevel="0" collapsed="false">
      <c r="B11" s="5" t="s">
        <v>12</v>
      </c>
      <c r="C11" s="6" t="s">
        <v>13</v>
      </c>
    </row>
    <row r="12" customFormat="false" ht="30" hidden="false" customHeight="true" outlineLevel="0" collapsed="false">
      <c r="B12" s="5" t="s">
        <v>14</v>
      </c>
      <c r="C12" s="6" t="s">
        <v>15</v>
      </c>
    </row>
    <row r="13" customFormat="false" ht="30" hidden="false" customHeight="true" outlineLevel="0" collapsed="false">
      <c r="B13" s="5" t="s">
        <v>16</v>
      </c>
      <c r="C13" s="6" t="s">
        <v>17</v>
      </c>
    </row>
    <row r="14" customFormat="false" ht="30" hidden="false" customHeight="true" outlineLevel="0" collapsed="false">
      <c r="B14" s="5" t="s">
        <v>18</v>
      </c>
      <c r="C14" s="6" t="s">
        <v>19</v>
      </c>
    </row>
    <row r="16" customFormat="false" ht="15" hidden="false" customHeight="false" outlineLevel="0" collapsed="false">
      <c r="B16" s="3" t="s">
        <v>20</v>
      </c>
      <c r="C16" s="4"/>
    </row>
    <row r="17" customFormat="false" ht="15" hidden="false" customHeight="true" outlineLevel="0" collapsed="false">
      <c r="B17" s="7" t="s">
        <v>21</v>
      </c>
      <c r="C17" s="6" t="s">
        <v>22</v>
      </c>
    </row>
    <row r="18" customFormat="false" ht="15" hidden="false" customHeight="true" outlineLevel="0" collapsed="false">
      <c r="B18" s="8" t="s">
        <v>23</v>
      </c>
      <c r="C18" s="6" t="s">
        <v>24</v>
      </c>
    </row>
    <row r="19" customFormat="false" ht="15" hidden="false" customHeight="true" outlineLevel="0" collapsed="false">
      <c r="B19" s="5" t="s">
        <v>25</v>
      </c>
      <c r="C19" s="6" t="s">
        <v>26</v>
      </c>
    </row>
    <row r="20" customFormat="false" ht="15" hidden="false" customHeight="true" outlineLevel="0" collapsed="false">
      <c r="B20" s="9" t="s">
        <v>27</v>
      </c>
      <c r="C20" s="6" t="s">
        <v>28</v>
      </c>
    </row>
    <row r="22" customFormat="false" ht="15" hidden="false" customHeight="false" outlineLevel="0" collapsed="false">
      <c r="B22" s="3" t="s">
        <v>29</v>
      </c>
      <c r="C22" s="4"/>
    </row>
    <row r="23" customFormat="false" ht="30" hidden="false" customHeight="true" outlineLevel="0" collapsed="false">
      <c r="B23" s="5" t="s">
        <v>30</v>
      </c>
      <c r="C23" s="6" t="s">
        <v>31</v>
      </c>
    </row>
    <row r="24" customFormat="false" ht="30" hidden="false" customHeight="true" outlineLevel="0" collapsed="false">
      <c r="B24" s="5" t="s">
        <v>32</v>
      </c>
      <c r="C24" s="6" t="s">
        <v>33</v>
      </c>
    </row>
    <row r="25" customFormat="false" ht="30" hidden="false" customHeight="true" outlineLevel="0" collapsed="false">
      <c r="B25" s="5" t="s">
        <v>34</v>
      </c>
      <c r="C25" s="6" t="s">
        <v>35</v>
      </c>
    </row>
    <row r="26" customFormat="false" ht="30" hidden="false" customHeight="true" outlineLevel="0" collapsed="false">
      <c r="B26" s="5" t="s">
        <v>36</v>
      </c>
      <c r="C26" s="6" t="s">
        <v>37</v>
      </c>
    </row>
    <row r="28" customFormat="false" ht="15" hidden="false" customHeight="false" outlineLevel="0" collapsed="false">
      <c r="B28" s="3" t="s">
        <v>38</v>
      </c>
      <c r="C28" s="4"/>
    </row>
    <row r="29" customFormat="false" ht="60" hidden="false" customHeight="true" outlineLevel="0" collapsed="false">
      <c r="B29" s="5" t="s">
        <v>39</v>
      </c>
      <c r="C29" s="6" t="s">
        <v>40</v>
      </c>
    </row>
    <row r="30" customFormat="false" ht="30" hidden="false" customHeight="true" outlineLevel="0" collapsed="false">
      <c r="B30" s="5" t="s">
        <v>41</v>
      </c>
      <c r="C30" s="6" t="s">
        <v>42</v>
      </c>
    </row>
    <row r="31" customFormat="false" ht="30" hidden="false" customHeight="true" outlineLevel="0" collapsed="false">
      <c r="B31" s="5" t="s">
        <v>43</v>
      </c>
      <c r="C31" s="6" t="s">
        <v>44</v>
      </c>
    </row>
    <row r="32" customFormat="false" ht="30" hidden="false" customHeight="true" outlineLevel="0" collapsed="false">
      <c r="B32" s="5" t="s">
        <v>45</v>
      </c>
      <c r="C32" s="6" t="s">
        <v>46</v>
      </c>
    </row>
    <row r="33" customFormat="false" ht="30" hidden="false" customHeight="true" outlineLevel="0" collapsed="false">
      <c r="B33" s="5" t="s">
        <v>47</v>
      </c>
      <c r="C33" s="6" t="s">
        <v>48</v>
      </c>
    </row>
    <row r="34" customFormat="false" ht="45" hidden="false" customHeight="true" outlineLevel="0" collapsed="false">
      <c r="B34" s="5" t="s">
        <v>49</v>
      </c>
      <c r="C34" s="6" t="s">
        <v>50</v>
      </c>
    </row>
    <row r="35" customFormat="false" ht="30" hidden="false" customHeight="true" outlineLevel="0" collapsed="false">
      <c r="B35" s="5" t="s">
        <v>51</v>
      </c>
      <c r="C35" s="6" t="s">
        <v>52</v>
      </c>
    </row>
    <row r="37" customFormat="false" ht="15" hidden="false" customHeight="false" outlineLevel="0" collapsed="false">
      <c r="B37" s="3" t="s">
        <v>53</v>
      </c>
      <c r="C37" s="4"/>
    </row>
    <row r="38" customFormat="false" ht="30" hidden="false" customHeight="true" outlineLevel="0" collapsed="false">
      <c r="B38" s="5" t="s">
        <v>54</v>
      </c>
      <c r="C38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B4" s="3" t="s">
        <v>58</v>
      </c>
      <c r="C4" s="4"/>
      <c r="D4" s="4"/>
      <c r="E4" s="4"/>
      <c r="F4" s="4"/>
      <c r="G4" s="4"/>
    </row>
    <row r="5" customFormat="false" ht="15" hidden="false" customHeight="false" outlineLevel="0" collapsed="false">
      <c r="B5" s="10" t="s">
        <v>59</v>
      </c>
      <c r="C5" s="11" t="s">
        <v>60</v>
      </c>
      <c r="D5" s="11"/>
      <c r="E5" s="11"/>
    </row>
    <row r="6" customFormat="false" ht="15" hidden="false" customHeight="false" outlineLevel="0" collapsed="false">
      <c r="B6" s="10" t="s">
        <v>61</v>
      </c>
      <c r="C6" s="11" t="s">
        <v>62</v>
      </c>
      <c r="D6" s="11"/>
      <c r="E6" s="11"/>
    </row>
    <row r="7" customFormat="false" ht="15" hidden="false" customHeight="false" outlineLevel="0" collapsed="false">
      <c r="B7" s="10" t="s">
        <v>63</v>
      </c>
      <c r="C7" s="11" t="s">
        <v>64</v>
      </c>
      <c r="D7" s="11"/>
      <c r="E7" s="11"/>
    </row>
    <row r="8" customFormat="false" ht="15" hidden="false" customHeight="false" outlineLevel="0" collapsed="false">
      <c r="B8" s="10" t="s">
        <v>65</v>
      </c>
      <c r="C8" s="11" t="s">
        <v>66</v>
      </c>
      <c r="D8" s="11"/>
      <c r="E8" s="11"/>
    </row>
    <row r="10" customFormat="false" ht="15" hidden="false" customHeight="false" outlineLevel="0" collapsed="false">
      <c r="B10" s="3" t="s">
        <v>67</v>
      </c>
      <c r="C10" s="4"/>
      <c r="D10" s="4"/>
      <c r="E10" s="4"/>
      <c r="F10" s="4"/>
      <c r="G10" s="4"/>
    </row>
    <row r="11" customFormat="false" ht="15" hidden="false" customHeight="false" outlineLevel="0" collapsed="false">
      <c r="B11" s="10" t="s">
        <v>68</v>
      </c>
      <c r="C11" s="12" t="s">
        <v>69</v>
      </c>
    </row>
    <row r="13" customFormat="false" ht="23.85" hidden="false" customHeight="true" outlineLevel="0" collapsed="false">
      <c r="B13" s="13" t="s">
        <v>70</v>
      </c>
      <c r="C13" s="13" t="s">
        <v>71</v>
      </c>
      <c r="D13" s="13" t="s">
        <v>72</v>
      </c>
      <c r="E13" s="13"/>
      <c r="F13" s="13"/>
      <c r="G13" s="13"/>
    </row>
    <row r="14" customFormat="false" ht="15" hidden="false" customHeight="false" outlineLevel="0" collapsed="false">
      <c r="B14" s="10" t="s">
        <v>73</v>
      </c>
      <c r="C14" s="14" t="n">
        <v>1.2</v>
      </c>
      <c r="D14" s="15" t="s">
        <v>74</v>
      </c>
      <c r="E14" s="15"/>
      <c r="F14" s="15"/>
      <c r="G14" s="15"/>
    </row>
    <row r="15" customFormat="false" ht="15" hidden="false" customHeight="false" outlineLevel="0" collapsed="false">
      <c r="B15" s="10" t="s">
        <v>69</v>
      </c>
      <c r="C15" s="14" t="n">
        <v>1.9</v>
      </c>
      <c r="D15" s="15" t="s">
        <v>75</v>
      </c>
      <c r="E15" s="15"/>
      <c r="F15" s="15"/>
      <c r="G15" s="15"/>
    </row>
    <row r="16" customFormat="false" ht="15" hidden="false" customHeight="false" outlineLevel="0" collapsed="false">
      <c r="B16" s="10" t="s">
        <v>76</v>
      </c>
      <c r="C16" s="14" t="n">
        <v>2.9</v>
      </c>
      <c r="D16" s="15" t="s">
        <v>77</v>
      </c>
      <c r="E16" s="15"/>
      <c r="F16" s="15"/>
      <c r="G16" s="15"/>
    </row>
    <row r="17" customFormat="false" ht="15" hidden="false" customHeight="false" outlineLevel="0" collapsed="false">
      <c r="B17" s="10" t="s">
        <v>78</v>
      </c>
      <c r="C17" s="14" t="n">
        <v>2.4</v>
      </c>
      <c r="D17" s="15" t="s">
        <v>79</v>
      </c>
      <c r="E17" s="15"/>
      <c r="F17" s="15"/>
      <c r="G17" s="15"/>
    </row>
    <row r="19" customFormat="false" ht="15" hidden="false" customHeight="false" outlineLevel="0" collapsed="false">
      <c r="B19" s="10" t="s">
        <v>80</v>
      </c>
      <c r="C19" s="16" t="n">
        <f aca="false">MATCH(C11,B14:B17,0)</f>
        <v>2</v>
      </c>
    </row>
    <row r="20" customFormat="false" ht="15" hidden="false" customHeight="false" outlineLevel="0" collapsed="false">
      <c r="B20" s="10" t="s">
        <v>81</v>
      </c>
      <c r="C20" s="17" t="n">
        <f aca="false">INDEX(C14:C17,C19)</f>
        <v>1.9</v>
      </c>
    </row>
    <row r="21" customFormat="false" ht="15" hidden="false" customHeight="false" outlineLevel="0" collapsed="false">
      <c r="B21" s="10" t="s">
        <v>82</v>
      </c>
      <c r="C21" s="18" t="n">
        <f aca="false">C20/25.4</f>
        <v>0.0748031496062992</v>
      </c>
    </row>
    <row r="23" customFormat="false" ht="15" hidden="false" customHeight="false" outlineLevel="0" collapsed="false">
      <c r="B23" s="3" t="s">
        <v>83</v>
      </c>
      <c r="C23" s="4"/>
      <c r="D23" s="4"/>
      <c r="E23" s="4"/>
      <c r="F23" s="4"/>
      <c r="G23" s="4"/>
    </row>
    <row r="24" customFormat="false" ht="15" hidden="false" customHeight="false" outlineLevel="0" collapsed="false">
      <c r="B24" s="10" t="s">
        <v>84</v>
      </c>
      <c r="C24" s="19" t="n">
        <v>0.1</v>
      </c>
      <c r="D24" s="20" t="s">
        <v>85</v>
      </c>
    </row>
    <row r="25" customFormat="false" ht="15" hidden="false" customHeight="false" outlineLevel="0" collapsed="false">
      <c r="B25" s="10" t="s">
        <v>86</v>
      </c>
      <c r="C25" s="21" t="n">
        <v>10000</v>
      </c>
      <c r="D25" s="20" t="s">
        <v>87</v>
      </c>
    </row>
    <row r="26" customFormat="false" ht="15" hidden="false" customHeight="false" outlineLevel="0" collapsed="false">
      <c r="B26" s="10" t="s">
        <v>88</v>
      </c>
      <c r="C26" s="22" t="s">
        <v>89</v>
      </c>
    </row>
    <row r="27" customFormat="false" ht="15" hidden="false" customHeight="false" outlineLevel="0" collapsed="false">
      <c r="B27" s="10" t="s">
        <v>90</v>
      </c>
      <c r="C27" s="22" t="s">
        <v>91</v>
      </c>
      <c r="D27" s="20" t="s">
        <v>92</v>
      </c>
    </row>
    <row r="29" customFormat="false" ht="15" hidden="false" customHeight="false" outlineLevel="0" collapsed="false">
      <c r="B29" s="3" t="s">
        <v>93</v>
      </c>
      <c r="C29" s="4"/>
      <c r="D29" s="4"/>
      <c r="E29" s="4"/>
      <c r="F29" s="4"/>
      <c r="G29" s="4"/>
    </row>
    <row r="30" customFormat="false" ht="15" hidden="false" customHeight="false" outlineLevel="0" collapsed="false">
      <c r="B30" s="13" t="s">
        <v>94</v>
      </c>
      <c r="C30" s="13" t="s">
        <v>95</v>
      </c>
      <c r="D30" s="13" t="s">
        <v>96</v>
      </c>
      <c r="E30" s="13" t="s">
        <v>97</v>
      </c>
    </row>
    <row r="31" customFormat="false" ht="15" hidden="false" customHeight="false" outlineLevel="0" collapsed="false">
      <c r="B31" s="11" t="s">
        <v>98</v>
      </c>
      <c r="C31" s="21" t="n">
        <v>5000</v>
      </c>
      <c r="D31" s="23" t="n">
        <v>3.8</v>
      </c>
      <c r="E31" s="24" t="n">
        <f aca="false">IF(AND(N(C31)&gt;0,N(D31)&gt;0),D31/C31,"")</f>
        <v>0.00076</v>
      </c>
    </row>
    <row r="32" customFormat="false" ht="15" hidden="false" customHeight="false" outlineLevel="0" collapsed="false">
      <c r="B32" s="11" t="s">
        <v>99</v>
      </c>
      <c r="C32" s="21" t="n">
        <v>5000</v>
      </c>
      <c r="D32" s="23" t="n">
        <v>3.2</v>
      </c>
      <c r="E32" s="24" t="n">
        <f aca="false">IF(AND(N(C32)&gt;0,N(D32)&gt;0),D32/C32,"")</f>
        <v>0.00064</v>
      </c>
    </row>
    <row r="33" customFormat="false" ht="15" hidden="false" customHeight="false" outlineLevel="0" collapsed="false">
      <c r="B33" s="11" t="s">
        <v>100</v>
      </c>
      <c r="C33" s="21" t="n">
        <v>3000</v>
      </c>
      <c r="D33" s="23" t="n">
        <v>2.6</v>
      </c>
      <c r="E33" s="24" t="n">
        <f aca="false">IF(AND(N(C33)&gt;0,N(D33)&gt;0),D33/C33,"")</f>
        <v>0.000866666666666667</v>
      </c>
    </row>
    <row r="34" customFormat="false" ht="15" hidden="false" customHeight="false" outlineLevel="0" collapsed="false">
      <c r="B34" s="11"/>
      <c r="C34" s="21"/>
      <c r="D34" s="23"/>
      <c r="E34" s="24" t="str">
        <f aca="false">IF(AND(N(C34)&gt;0,N(D34)&gt;0),D34/C34,"")</f>
        <v/>
      </c>
    </row>
    <row r="35" customFormat="false" ht="15" hidden="false" customHeight="false" outlineLevel="0" collapsed="false">
      <c r="B35" s="11"/>
      <c r="C35" s="21"/>
      <c r="D35" s="23"/>
      <c r="E35" s="24" t="str">
        <f aca="false">IF(AND(N(C35)&gt;0,N(D35)&gt;0),D35/C35,"")</f>
        <v/>
      </c>
    </row>
    <row r="36" customFormat="false" ht="15" hidden="false" customHeight="false" outlineLevel="0" collapsed="false">
      <c r="B36" s="11"/>
      <c r="C36" s="21"/>
      <c r="D36" s="23"/>
      <c r="E36" s="24" t="str">
        <f aca="false">IF(AND(N(C36)&gt;0,N(D36)&gt;0),D36/C36,"")</f>
        <v/>
      </c>
    </row>
    <row r="37" customFormat="false" ht="15" hidden="false" customHeight="false" outlineLevel="0" collapsed="false">
      <c r="B37" s="11"/>
      <c r="C37" s="21"/>
      <c r="D37" s="23"/>
      <c r="E37" s="24" t="str">
        <f aca="false">IF(AND(N(C37)&gt;0,N(D37)&gt;0),D37/C37,"")</f>
        <v/>
      </c>
    </row>
    <row r="38" customFormat="false" ht="15" hidden="false" customHeight="false" outlineLevel="0" collapsed="false">
      <c r="B38" s="11"/>
      <c r="C38" s="21"/>
      <c r="D38" s="23"/>
      <c r="E38" s="24" t="str">
        <f aca="false">IF(AND(N(C38)&gt;0,N(D38)&gt;0),D38/C38,"")</f>
        <v/>
      </c>
    </row>
    <row r="39" customFormat="false" ht="15" hidden="false" customHeight="false" outlineLevel="0" collapsed="false">
      <c r="B39" s="11"/>
      <c r="C39" s="21"/>
      <c r="D39" s="23"/>
      <c r="E39" s="24" t="str">
        <f aca="false">IF(AND(N(C39)&gt;0,N(D39)&gt;0),D39/C39,"")</f>
        <v/>
      </c>
    </row>
    <row r="40" customFormat="false" ht="15" hidden="false" customHeight="false" outlineLevel="0" collapsed="false">
      <c r="B40" s="11"/>
      <c r="C40" s="21"/>
      <c r="D40" s="23"/>
      <c r="E40" s="24" t="str">
        <f aca="false">IF(AND(N(C40)&gt;0,N(D40)&gt;0),D40/C40,"")</f>
        <v/>
      </c>
    </row>
    <row r="41" customFormat="false" ht="15" hidden="false" customHeight="false" outlineLevel="0" collapsed="false">
      <c r="B41" s="11"/>
      <c r="C41" s="21"/>
      <c r="D41" s="23"/>
      <c r="E41" s="24" t="str">
        <f aca="false">IF(AND(N(C41)&gt;0,N(D41)&gt;0),D41/C41,"")</f>
        <v/>
      </c>
    </row>
    <row r="42" customFormat="false" ht="15" hidden="false" customHeight="false" outlineLevel="0" collapsed="false">
      <c r="B42" s="11"/>
      <c r="C42" s="21"/>
      <c r="D42" s="23"/>
      <c r="E42" s="24" t="str">
        <f aca="false">IF(AND(N(C42)&gt;0,N(D42)&gt;0),D42/C42,"")</f>
        <v/>
      </c>
    </row>
    <row r="43" customFormat="false" ht="15" hidden="false" customHeight="false" outlineLevel="0" collapsed="false">
      <c r="B43" s="11"/>
      <c r="C43" s="21"/>
      <c r="D43" s="23"/>
      <c r="E43" s="24" t="str">
        <f aca="false">IF(AND(N(C43)&gt;0,N(D43)&gt;0),D43/C43,"")</f>
        <v/>
      </c>
    </row>
    <row r="44" customFormat="false" ht="15" hidden="false" customHeight="false" outlineLevel="0" collapsed="false">
      <c r="B44" s="11"/>
      <c r="C44" s="21"/>
      <c r="D44" s="23"/>
      <c r="E44" s="24" t="str">
        <f aca="false">IF(AND(N(C44)&gt;0,N(D44)&gt;0),D44/C44,"")</f>
        <v/>
      </c>
    </row>
    <row r="45" customFormat="false" ht="15" hidden="false" customHeight="false" outlineLevel="0" collapsed="false">
      <c r="B45" s="11"/>
      <c r="C45" s="21"/>
      <c r="D45" s="23"/>
      <c r="E45" s="24" t="str">
        <f aca="false">IF(AND(N(C45)&gt;0,N(D45)&gt;0),D45/C45,"")</f>
        <v/>
      </c>
    </row>
    <row r="46" customFormat="false" ht="15" hidden="false" customHeight="false" outlineLevel="0" collapsed="false">
      <c r="B46" s="25" t="s">
        <v>101</v>
      </c>
    </row>
  </sheetData>
  <mergeCells count="9">
    <mergeCell ref="C5:E5"/>
    <mergeCell ref="C6:E6"/>
    <mergeCell ref="C7:E7"/>
    <mergeCell ref="C8:E8"/>
    <mergeCell ref="D13:G13"/>
    <mergeCell ref="D14:G14"/>
    <mergeCell ref="D15:G15"/>
    <mergeCell ref="D16:G16"/>
    <mergeCell ref="D17:G17"/>
  </mergeCells>
  <conditionalFormatting sqref="B31:B45">
    <cfRule type="expression" priority="2" aboveAverage="0" equalAverage="0" bottom="0" percent="0" rank="0" text="" dxfId="0">
      <formula>AND(B31&lt;&gt;"",COUNTIF($B$31:$B$45,B31)&gt;1)</formula>
    </cfRule>
  </conditionalFormatting>
  <dataValidations count="4">
    <dataValidation allowBlank="false" error="Choose Light, Medium, Heavy or Custom." errorStyle="stop" errorTitle="Fabric weight" operator="between" showDropDown="false" showErrorMessage="true" showInputMessage="false" sqref="C11" type="list">
      <formula1>"Light,Medium,Heavy,Custom"</formula1>
      <formula2>0</formula2>
    </dataValidation>
    <dataValidation allowBlank="false" errorStyle="stop" operator="between" showDropDown="false" showErrorMessage="true" showInputMessage="false" sqref="C27" type="list">
      <formula1>"Corrected,Original"</formula1>
      <formula2>0</formula2>
    </dataValidation>
    <dataValidation allowBlank="false" error="Enter a fraction between 0% and 100%." errorStyle="stop" errorTitle="Waste %" operator="between" showDropDown="false" showErrorMessage="true" showInputMessage="false" sqref="C24" type="decimal">
      <formula1>0</formula1>
      <formula2>1</formula2>
    </dataValidation>
    <dataValidation allowBlank="false" error="Enter seam thickness in mm (0.1 – 12)." errorStyle="stop" errorTitle="Thickness" operator="between" showDropDown="false" showErrorMessage="true" showInputMessage="false" sqref="C14:C17" type="decimal">
      <formula1>0.1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AK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1" max="13" min="10" style="0" width="8"/>
    <col collapsed="false" customWidth="true" hidden="false" outlineLevel="0" max="14" min="14" style="0" width="30"/>
    <col collapsed="false" customWidth="true" hidden="false" outlineLevel="0" max="15" min="15" style="0" width="10"/>
    <col collapsed="false" customWidth="true" hidden="false" outlineLevel="0" max="16" min="16" style="0" width="30"/>
    <col collapsed="false" customWidth="true" hidden="false" outlineLevel="0" max="17" min="17" style="0" width="10"/>
    <col collapsed="false" customWidth="true" hidden="false" outlineLevel="0" max="18" min="18" style="0" width="30"/>
    <col collapsed="false" customWidth="true" hidden="false" outlineLevel="0" max="19" min="19" style="0" width="10"/>
    <col collapsed="false" customWidth="true" hidden="false" outlineLevel="0" max="20" min="20" style="0" width="30"/>
    <col collapsed="false" customWidth="true" hidden="false" outlineLevel="0" max="21" min="21" style="0" width="10"/>
    <col collapsed="false" customWidth="true" hidden="false" outlineLevel="0" max="22" min="22" style="0" width="30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40"/>
    <col collapsed="false" customWidth="true" hidden="true" outlineLevel="1" max="37" min="28" style="0" width="8"/>
  </cols>
  <sheetData>
    <row r="1" customFormat="false" ht="19.7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23.85" hidden="false" customHeight="true" outlineLevel="0" collapsed="false">
      <c r="B4" s="26" t="s">
        <v>104</v>
      </c>
      <c r="C4" s="26"/>
      <c r="D4" s="26" t="s">
        <v>105</v>
      </c>
      <c r="E4" s="26"/>
      <c r="F4" s="26" t="s">
        <v>106</v>
      </c>
      <c r="G4" s="26"/>
      <c r="H4" s="26"/>
      <c r="I4" s="26" t="s">
        <v>107</v>
      </c>
      <c r="J4" s="26"/>
      <c r="K4" s="26"/>
      <c r="L4" s="26" t="s">
        <v>108</v>
      </c>
      <c r="M4" s="26"/>
      <c r="N4" s="26"/>
      <c r="O4" s="26"/>
      <c r="P4" s="26" t="s">
        <v>109</v>
      </c>
      <c r="Q4" s="26"/>
      <c r="R4" s="26"/>
      <c r="S4" s="26"/>
    </row>
    <row r="5" customFormat="false" ht="24" hidden="false" customHeight="true" outlineLevel="0" collapsed="false">
      <c r="B5" s="27" t="str">
        <f aca="false">Setup!C11&amp;"  ("&amp;TEXT(Setup!C20,"0.0")&amp;" mm)"</f>
        <v>Medium  (1.9 mm)</v>
      </c>
      <c r="C5" s="27"/>
      <c r="D5" s="28" t="n">
        <f aca="false">COUNTIF(I10:I89,"&gt;0")</f>
        <v>9</v>
      </c>
      <c r="E5" s="28"/>
      <c r="F5" s="29" t="n">
        <f aca="false">I90</f>
        <v>63.2532913385827</v>
      </c>
      <c r="G5" s="29"/>
      <c r="H5" s="29"/>
      <c r="I5" s="29" t="n">
        <f aca="false">I90*(1+Waste_Pct)</f>
        <v>69.578620472441</v>
      </c>
      <c r="J5" s="29"/>
      <c r="K5" s="29"/>
      <c r="L5" s="30" t="n">
        <f aca="false">'Thread Order'!J21</f>
        <v>0.0479173737238845</v>
      </c>
      <c r="M5" s="30"/>
      <c r="N5" s="30"/>
      <c r="O5" s="30"/>
      <c r="P5" s="27" t="str">
        <f aca="false">IF(COUNTIF(AA10:AA89,"⚠*")=0,"All rows OK",COUNTIF(AA10:AA89,"⚠*")&amp;" row(s) need attention")</f>
        <v>All rows OK</v>
      </c>
      <c r="Q5" s="27"/>
      <c r="R5" s="27"/>
      <c r="S5" s="27"/>
    </row>
    <row r="6" customFormat="false" ht="15" hidden="false" customHeight="false" outlineLevel="0" collapsed="false">
      <c r="B6" s="20" t="s">
        <v>110</v>
      </c>
    </row>
    <row r="7" customFormat="false" ht="15" hidden="false" customHeight="false" outlineLevel="0" collapsed="false">
      <c r="B7" s="25" t="s">
        <v>111</v>
      </c>
    </row>
    <row r="8" customFormat="false" ht="68.65" hidden="false" customHeight="true" outlineLevel="0" collapsed="false">
      <c r="A8" s="26" t="s">
        <v>112</v>
      </c>
      <c r="B8" s="26"/>
      <c r="C8" s="26"/>
      <c r="D8" s="26"/>
      <c r="E8" s="26"/>
      <c r="F8" s="26" t="s">
        <v>113</v>
      </c>
      <c r="G8" s="26"/>
      <c r="H8" s="26"/>
      <c r="I8" s="26"/>
      <c r="J8" s="26" t="s">
        <v>114</v>
      </c>
      <c r="K8" s="26"/>
      <c r="L8" s="26"/>
      <c r="M8" s="26"/>
      <c r="N8" s="26" t="s">
        <v>115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 t="s">
        <v>116</v>
      </c>
      <c r="AA8" s="26"/>
      <c r="AB8" s="26" t="s">
        <v>117</v>
      </c>
      <c r="AC8" s="26"/>
      <c r="AD8" s="26"/>
      <c r="AE8" s="26"/>
      <c r="AF8" s="26"/>
      <c r="AG8" s="26"/>
      <c r="AH8" s="26"/>
      <c r="AI8" s="26"/>
      <c r="AJ8" s="26"/>
      <c r="AK8" s="26"/>
    </row>
    <row r="9" customFormat="false" ht="42" hidden="false" customHeight="true" outlineLevel="0" collapsed="false">
      <c r="A9" s="13" t="s">
        <v>118</v>
      </c>
      <c r="B9" s="13" t="s">
        <v>119</v>
      </c>
      <c r="C9" s="13" t="s">
        <v>120</v>
      </c>
      <c r="D9" s="13" t="s">
        <v>121</v>
      </c>
      <c r="E9" s="13" t="s">
        <v>122</v>
      </c>
      <c r="F9" s="13" t="s">
        <v>123</v>
      </c>
      <c r="G9" s="13" t="s">
        <v>124</v>
      </c>
      <c r="H9" s="13" t="s">
        <v>125</v>
      </c>
      <c r="I9" s="13" t="s">
        <v>126</v>
      </c>
      <c r="J9" s="13" t="s">
        <v>127</v>
      </c>
      <c r="K9" s="13" t="s">
        <v>128</v>
      </c>
      <c r="L9" s="13" t="s">
        <v>129</v>
      </c>
      <c r="M9" s="13" t="s">
        <v>130</v>
      </c>
      <c r="N9" s="13" t="s">
        <v>131</v>
      </c>
      <c r="O9" s="13" t="s">
        <v>132</v>
      </c>
      <c r="P9" s="13" t="s">
        <v>133</v>
      </c>
      <c r="Q9" s="13" t="s">
        <v>134</v>
      </c>
      <c r="R9" s="13" t="s">
        <v>135</v>
      </c>
      <c r="S9" s="13" t="s">
        <v>136</v>
      </c>
      <c r="T9" s="13" t="s">
        <v>137</v>
      </c>
      <c r="U9" s="13" t="s">
        <v>138</v>
      </c>
      <c r="V9" s="13" t="s">
        <v>139</v>
      </c>
      <c r="W9" s="13" t="s">
        <v>140</v>
      </c>
      <c r="X9" s="13" t="s">
        <v>141</v>
      </c>
      <c r="Y9" s="13" t="s">
        <v>142</v>
      </c>
      <c r="Z9" s="13" t="s">
        <v>143</v>
      </c>
      <c r="AA9" s="13" t="s">
        <v>144</v>
      </c>
      <c r="AB9" s="13" t="s">
        <v>145</v>
      </c>
      <c r="AC9" s="13" t="s">
        <v>146</v>
      </c>
      <c r="AD9" s="13" t="s">
        <v>147</v>
      </c>
      <c r="AE9" s="13" t="s">
        <v>148</v>
      </c>
      <c r="AF9" s="13" t="s">
        <v>149</v>
      </c>
      <c r="AG9" s="13" t="s">
        <v>150</v>
      </c>
      <c r="AH9" s="13" t="s">
        <v>151</v>
      </c>
      <c r="AI9" s="13" t="s">
        <v>152</v>
      </c>
      <c r="AJ9" s="13" t="s">
        <v>153</v>
      </c>
      <c r="AK9" s="13" t="s">
        <v>154</v>
      </c>
    </row>
    <row r="10" customFormat="false" ht="15" hidden="false" customHeight="false" outlineLevel="0" collapsed="false">
      <c r="A10" s="31" t="n">
        <v>1</v>
      </c>
      <c r="B10" s="11" t="s">
        <v>155</v>
      </c>
      <c r="C10" s="11" t="s">
        <v>156</v>
      </c>
      <c r="D10" s="32" t="n">
        <v>1</v>
      </c>
      <c r="E10" s="33" t="n">
        <v>12</v>
      </c>
      <c r="F10" s="34" t="n">
        <v>44</v>
      </c>
      <c r="G10" s="35" t="str">
        <f aca="false">IF($AB10="","",IF(INDEX(Lib_Basis,$AB10)="Piece","pcs","cm"))</f>
        <v>cm</v>
      </c>
      <c r="H10" s="36" t="n">
        <f aca="false">IF(OR($AB10="",$AC10="",N($AC10)&lt;1,N($AC10)&gt;24),0,IF($AE10=0,INDEX(Engine_Grid,(WeightIdx-1)*75+$AB10,$AD10),IF(OR($AD10&gt;=24,INDEX(Engine_Grid,(WeightIdx-1)*75+$AB10,$AD10)=0,INDEX(Engine_Grid,(WeightIdx-1)*75+$AB10,$AD10+1)=0),0,INDEX(Engine_Grid,(WeightIdx-1)*75+$AB10,$AD10)*(1-$AE10)+INDEX(Engine_Grid,(WeightIdx-1)*75+$AB10,$AD10+1)*$AE10)))</f>
        <v>3.79527559055118</v>
      </c>
      <c r="I10" s="37" t="n">
        <f aca="false">IF(OR($H10=0,N($F10)&lt;=0),0,$F10/100*$H10*IF(N($D10)&lt;1,1,$D10))</f>
        <v>1.66992125984252</v>
      </c>
      <c r="J10" s="38" t="n">
        <f aca="false">IF($AB10="","",INDEX(Lib_Needle,$AB10))</f>
        <v>0.51</v>
      </c>
      <c r="K10" s="38" t="n">
        <f aca="false">IF($AB10="","",INDEX(Lib_Bobbin,$AB10))</f>
        <v>0.49</v>
      </c>
      <c r="L10" s="38" t="n">
        <f aca="false">IF($AB10="","",INDEX(Lib_Looper,$AB10))</f>
        <v>0</v>
      </c>
      <c r="M10" s="38" t="n">
        <f aca="false">IF($AB10="","",INDEX(Lib_Cover,$AB10))</f>
        <v>0</v>
      </c>
      <c r="N10" s="11" t="s">
        <v>98</v>
      </c>
      <c r="O10" s="39" t="n">
        <f aca="false">IF($I10=0,0,IF($AF10="Y",$I10*$J10/IF(N($D10)&lt;1,1,$D10),$I10*$J10))</f>
        <v>0.851659842519685</v>
      </c>
      <c r="P10" s="11"/>
      <c r="Q10" s="39" t="n">
        <f aca="false">IF(AND($I10&gt;0,$AF10="Y",IF(N($D10)&lt;1,1,$D10)&gt;=2),$I10*$J10/IF(N($D10)&lt;1,1,$D10),0)</f>
        <v>0</v>
      </c>
      <c r="R10" s="11"/>
      <c r="S10" s="39" t="n">
        <f aca="false">IF(AND($I10&gt;0,$AF10="Y",IF(N($D10)&lt;1,1,$D10)&gt;=3),$I10*$J10/IF(N($D10)&lt;1,1,$D10),0)</f>
        <v>0</v>
      </c>
      <c r="T10" s="11" t="s">
        <v>99</v>
      </c>
      <c r="U10" s="39" t="n">
        <f aca="false">IF($I10=0,0,$I10*$K10)</f>
        <v>0.818261417322835</v>
      </c>
      <c r="V10" s="11"/>
      <c r="W10" s="39" t="n">
        <f aca="false">IF($I10=0,0,$I10*$L10)</f>
        <v>0</v>
      </c>
      <c r="X10" s="11"/>
      <c r="Y10" s="39" t="n">
        <f aca="false">IF($I10=0,0,$I10*$M10)</f>
        <v>0</v>
      </c>
      <c r="Z10" s="39" t="n">
        <f aca="false">IF($N10="",$O10,0)+IF($P10="",$Q10,0)+IF($R10="",$S10,0)+IF($T10="",$U10,0)+IF($V10="",$W10,0)+IF($X10="",$Y10,0)+IF(AND($AF10="Y",IF(N($D10)&lt;1,1,$D10)&gt;3),$I10*$J10*(IF(N($D10)&lt;1,1,$D10)-3)/IF(N($D10)&lt;1,1,$D10),0)</f>
        <v>0</v>
      </c>
      <c r="AA10" s="40" t="str">
        <f aca="false">IF(AND($C10="",N($F10)=0),"",IF($C10="","⚠ Select a stitch type",IF($AB10="","⚠ Stitch not in library",IF(N($F10)&lt;=0,"⚠ Enter "&amp;IF($G10="pcs","quantity","seam length (cm)"),IF(AND($G10="cm",N($E10)&lt;=0),"⚠ Enter SPI",IF($H10=0,"⚠ No factor at SPI "&amp;$E10&amp;" – valid "&amp;INDEX(Lib_MinSPI,$AB10)&amp;"–"&amp;INDEX(Lib_MaxSPI,$AB10),IF(AND($AF10="Y",IF(N($D10)&lt;1,1,$D10)&gt;3),"⚠ More than 3 rows – thread for extra rows not allocated",IF($Z10&gt;0.00001,"⚠ Assign threads ("&amp;TEXT($Z10,"0.00")&amp;" m unassigned)","✔ OK"))))))))</f>
        <v>✔ OK</v>
      </c>
      <c r="AB10" s="16" t="n">
        <f aca="false">IF($C10="","",IFERROR(MATCH($C10,Lib_Names,0),""))</f>
        <v>7</v>
      </c>
      <c r="AC10" s="41" t="n">
        <f aca="false">IF($AB10="","",IF(INDEX(Lib_Basis,$AB10)="Piece",1,N($E10)))</f>
        <v>12</v>
      </c>
      <c r="AD10" s="16" t="n">
        <f aca="false">IF($AC10="","",INT($AC10))</f>
        <v>12</v>
      </c>
      <c r="AE10" s="17" t="n">
        <f aca="false">IF($AC10="","",$AC10-$AD10)</f>
        <v>0</v>
      </c>
      <c r="AF10" s="35" t="str">
        <f aca="false">IF($AB10="","",INDEX(Lib_Multi,$AB10))</f>
        <v>Y</v>
      </c>
      <c r="AG10" s="42" t="str">
        <f aca="false">IF($AB10="","",INDEX(Lib_Cat,$AB10))</f>
        <v>Lockstitch / zigzag</v>
      </c>
      <c r="AH10" s="39" t="n">
        <f aca="false">IF(N($F10)&lt;=0,0,$F10/100*IF(OR($AB10="",$AC10="",N($AC10)&lt;1,N($AC10)&gt;24),0,IF($AE10=0,INDEX(Engine_Grid,0+$AB10,$AD10),IF(OR($AD10&gt;=24,INDEX(Engine_Grid,0+$AB10,$AD10)=0,INDEX(Engine_Grid,0+$AB10,$AD10+1)=0),0,INDEX(Engine_Grid,0+$AB10,$AD10)*(1-$AE10)+INDEX(Engine_Grid,0+$AB10,$AD10+1)*$AE10)))*IF(N($D10)&lt;1,1,$D10))</f>
        <v>1.37889763779528</v>
      </c>
      <c r="AI10" s="39" t="n">
        <f aca="false">IF(N($F10)&lt;=0,0,$F10/100*IF(OR($AB10="",$AC10="",N($AC10)&lt;1,N($AC10)&gt;24),0,IF($AE10=0,INDEX(Engine_Grid,75+$AB10,$AD10),IF(OR($AD10&gt;=24,INDEX(Engine_Grid,75+$AB10,$AD10)=0,INDEX(Engine_Grid,75+$AB10,$AD10+1)=0),0,INDEX(Engine_Grid,75+$AB10,$AD10)*(1-$AE10)+INDEX(Engine_Grid,75+$AB10,$AD10+1)*$AE10)))*IF(N($D10)&lt;1,1,$D10))</f>
        <v>1.66992125984252</v>
      </c>
      <c r="AJ10" s="39" t="n">
        <f aca="false">IF(N($F10)&lt;=0,0,$F10/100*IF(OR($AB10="",$AC10="",N($AC10)&lt;1,N($AC10)&gt;24),0,IF($AE10=0,INDEX(Engine_Grid,150+$AB10,$AD10),IF(OR($AD10&gt;=24,INDEX(Engine_Grid,150+$AB10,$AD10)=0,INDEX(Engine_Grid,150+$AB10,$AD10+1)=0),0,INDEX(Engine_Grid,150+$AB10,$AD10)*(1-$AE10)+INDEX(Engine_Grid,150+$AB10,$AD10+1)*$AE10)))*IF(N($D10)&lt;1,1,$D10))</f>
        <v>2.08566929133858</v>
      </c>
      <c r="AK10" s="39" t="n">
        <f aca="false">IF(N($F10)&lt;=0,0,$F10/100*IF(OR($AB10="",$AC10="",N($AC10)&lt;1,N($AC10)&gt;24),0,IF($AE10=0,INDEX(Engine_Grid,225+$AB10,$AD10),IF(OR($AD10&gt;=24,INDEX(Engine_Grid,225+$AB10,$AD10)=0,INDEX(Engine_Grid,225+$AB10,$AD10+1)=0),0,INDEX(Engine_Grid,225+$AB10,$AD10)*(1-$AE10)+INDEX(Engine_Grid,225+$AB10,$AD10+1)*$AE10)))*IF(N($D10)&lt;1,1,$D10))</f>
        <v>1.87779527559055</v>
      </c>
    </row>
    <row r="11" customFormat="false" ht="15" hidden="false" customHeight="false" outlineLevel="0" collapsed="false">
      <c r="A11" s="31" t="n">
        <v>2</v>
      </c>
      <c r="B11" s="11" t="s">
        <v>157</v>
      </c>
      <c r="C11" s="11" t="s">
        <v>156</v>
      </c>
      <c r="D11" s="32" t="n">
        <v>2</v>
      </c>
      <c r="E11" s="33" t="n">
        <v>11</v>
      </c>
      <c r="F11" s="34" t="n">
        <v>36</v>
      </c>
      <c r="G11" s="35" t="str">
        <f aca="false">IF($AB11="","",IF(INDEX(Lib_Basis,$AB11)="Piece","pcs","cm"))</f>
        <v>cm</v>
      </c>
      <c r="H11" s="36" t="n">
        <f aca="false">IF(OR($AB11="",$AC11="",N($AC11)&lt;1,N($AC11)&gt;24),0,IF($AE11=0,INDEX(Engine_Grid,(WeightIdx-1)*75+$AB11,$AD11),IF(OR($AD11&gt;=24,INDEX(Engine_Grid,(WeightIdx-1)*75+$AB11,$AD11)=0,INDEX(Engine_Grid,(WeightIdx-1)*75+$AB11,$AD11+1)=0),0,INDEX(Engine_Grid,(WeightIdx-1)*75+$AB11,$AD11)*(1-$AE11)+INDEX(Engine_Grid,(WeightIdx-1)*75+$AB11,$AD11+1)*$AE11)))</f>
        <v>3.64566929133858</v>
      </c>
      <c r="I11" s="37" t="n">
        <f aca="false">IF(OR($H11=0,N($F11)&lt;=0),0,$F11/100*$H11*IF(N($D11)&lt;1,1,$D11))</f>
        <v>2.62488188976378</v>
      </c>
      <c r="J11" s="38" t="n">
        <f aca="false">IF($AB11="","",INDEX(Lib_Needle,$AB11))</f>
        <v>0.51</v>
      </c>
      <c r="K11" s="38" t="n">
        <f aca="false">IF($AB11="","",INDEX(Lib_Bobbin,$AB11))</f>
        <v>0.49</v>
      </c>
      <c r="L11" s="38" t="n">
        <f aca="false">IF($AB11="","",INDEX(Lib_Looper,$AB11))</f>
        <v>0</v>
      </c>
      <c r="M11" s="38" t="n">
        <f aca="false">IF($AB11="","",INDEX(Lib_Cover,$AB11))</f>
        <v>0</v>
      </c>
      <c r="N11" s="11" t="s">
        <v>98</v>
      </c>
      <c r="O11" s="39" t="n">
        <f aca="false">IF($I11=0,0,IF($AF11="Y",$I11*$J11/IF(N($D11)&lt;1,1,$D11),$I11*$J11))</f>
        <v>0.669344881889764</v>
      </c>
      <c r="P11" s="11" t="s">
        <v>98</v>
      </c>
      <c r="Q11" s="39" t="n">
        <f aca="false">IF(AND($I11&gt;0,$AF11="Y",IF(N($D11)&lt;1,1,$D11)&gt;=2),$I11*$J11/IF(N($D11)&lt;1,1,$D11),0)</f>
        <v>0.669344881889764</v>
      </c>
      <c r="R11" s="11"/>
      <c r="S11" s="39" t="n">
        <f aca="false">IF(AND($I11&gt;0,$AF11="Y",IF(N($D11)&lt;1,1,$D11)&gt;=3),$I11*$J11/IF(N($D11)&lt;1,1,$D11),0)</f>
        <v>0</v>
      </c>
      <c r="T11" s="11" t="s">
        <v>99</v>
      </c>
      <c r="U11" s="39" t="n">
        <f aca="false">IF($I11=0,0,$I11*$K11)</f>
        <v>1.28619212598425</v>
      </c>
      <c r="V11" s="11"/>
      <c r="W11" s="39" t="n">
        <f aca="false">IF($I11=0,0,$I11*$L11)</f>
        <v>0</v>
      </c>
      <c r="X11" s="11"/>
      <c r="Y11" s="39" t="n">
        <f aca="false">IF($I11=0,0,$I11*$M11)</f>
        <v>0</v>
      </c>
      <c r="Z11" s="39" t="n">
        <f aca="false">IF($N11="",$O11,0)+IF($P11="",$Q11,0)+IF($R11="",$S11,0)+IF($T11="",$U11,0)+IF($V11="",$W11,0)+IF($X11="",$Y11,0)+IF(AND($AF11="Y",IF(N($D11)&lt;1,1,$D11)&gt;3),$I11*$J11*(IF(N($D11)&lt;1,1,$D11)-3)/IF(N($D11)&lt;1,1,$D11),0)</f>
        <v>0</v>
      </c>
      <c r="AA11" s="40" t="str">
        <f aca="false">IF(AND($C11="",N($F11)=0),"",IF($C11="","⚠ Select a stitch type",IF($AB11="","⚠ Stitch not in library",IF(N($F11)&lt;=0,"⚠ Enter "&amp;IF($G11="pcs","quantity","seam length (cm)"),IF(AND($G11="cm",N($E11)&lt;=0),"⚠ Enter SPI",IF($H11=0,"⚠ No factor at SPI "&amp;$E11&amp;" – valid "&amp;INDEX(Lib_MinSPI,$AB11)&amp;"–"&amp;INDEX(Lib_MaxSPI,$AB11),IF(AND($AF11="Y",IF(N($D11)&lt;1,1,$D11)&gt;3),"⚠ More than 3 rows – thread for extra rows not allocated",IF($Z11&gt;0.00001,"⚠ Assign threads ("&amp;TEXT($Z11,"0.00")&amp;" m unassigned)","✔ OK"))))))))</f>
        <v>✔ OK</v>
      </c>
      <c r="AB11" s="16" t="n">
        <f aca="false">IF($C11="","",IFERROR(MATCH($C11,Lib_Names,0),""))</f>
        <v>7</v>
      </c>
      <c r="AC11" s="41" t="n">
        <f aca="false">IF($AB11="","",IF(INDEX(Lib_Basis,$AB11)="Piece",1,N($E11)))</f>
        <v>11</v>
      </c>
      <c r="AD11" s="16" t="n">
        <f aca="false">IF($AC11="","",INT($AC11))</f>
        <v>11</v>
      </c>
      <c r="AE11" s="17" t="n">
        <f aca="false">IF($AC11="","",$AC11-$AD11)</f>
        <v>0</v>
      </c>
      <c r="AF11" s="35" t="str">
        <f aca="false">IF($AB11="","",INDEX(Lib_Multi,$AB11))</f>
        <v>Y</v>
      </c>
      <c r="AG11" s="42" t="str">
        <f aca="false">IF($AB11="","",INDEX(Lib_Cat,$AB11))</f>
        <v>Lockstitch / zigzag</v>
      </c>
      <c r="AH11" s="39" t="n">
        <f aca="false">IF(N($F11)&lt;=0,0,$F11/100*IF(OR($AB11="",$AC11="",N($AC11)&lt;1,N($AC11)&gt;24),0,IF($AE11=0,INDEX(Engine_Grid,0+$AB11,$AD11),IF(OR($AD11&gt;=24,INDEX(Engine_Grid,0+$AB11,$AD11)=0,INDEX(Engine_Grid,0+$AB11,$AD11+1)=0),0,INDEX(Engine_Grid,0+$AB11,$AD11)*(1-$AE11)+INDEX(Engine_Grid,0+$AB11,$AD11+1)*$AE11)))*IF(N($D11)&lt;1,1,$D11))</f>
        <v>2.18834645669291</v>
      </c>
      <c r="AI11" s="39" t="n">
        <f aca="false">IF(N($F11)&lt;=0,0,$F11/100*IF(OR($AB11="",$AC11="",N($AC11)&lt;1,N($AC11)&gt;24),0,IF($AE11=0,INDEX(Engine_Grid,75+$AB11,$AD11),IF(OR($AD11&gt;=24,INDEX(Engine_Grid,75+$AB11,$AD11)=0,INDEX(Engine_Grid,75+$AB11,$AD11+1)=0),0,INDEX(Engine_Grid,75+$AB11,$AD11)*(1-$AE11)+INDEX(Engine_Grid,75+$AB11,$AD11+1)*$AE11)))*IF(N($D11)&lt;1,1,$D11))</f>
        <v>2.62488188976378</v>
      </c>
      <c r="AJ11" s="39" t="n">
        <f aca="false">IF(N($F11)&lt;=0,0,$F11/100*IF(OR($AB11="",$AC11="",N($AC11)&lt;1,N($AC11)&gt;24),0,IF($AE11=0,INDEX(Engine_Grid,150+$AB11,$AD11),IF(OR($AD11&gt;=24,INDEX(Engine_Grid,150+$AB11,$AD11)=0,INDEX(Engine_Grid,150+$AB11,$AD11+1)=0),0,INDEX(Engine_Grid,150+$AB11,$AD11)*(1-$AE11)+INDEX(Engine_Grid,150+$AB11,$AD11+1)*$AE11)))*IF(N($D11)&lt;1,1,$D11))</f>
        <v>3.24850393700787</v>
      </c>
      <c r="AK11" s="39" t="n">
        <f aca="false">IF(N($F11)&lt;=0,0,$F11/100*IF(OR($AB11="",$AC11="",N($AC11)&lt;1,N($AC11)&gt;24),0,IF($AE11=0,INDEX(Engine_Grid,225+$AB11,$AD11),IF(OR($AD11&gt;=24,INDEX(Engine_Grid,225+$AB11,$AD11)=0,INDEX(Engine_Grid,225+$AB11,$AD11+1)=0),0,INDEX(Engine_Grid,225+$AB11,$AD11)*(1-$AE11)+INDEX(Engine_Grid,225+$AB11,$AD11+1)*$AE11)))*IF(N($D11)&lt;1,1,$D11))</f>
        <v>2.93669291338583</v>
      </c>
    </row>
    <row r="12" customFormat="false" ht="15" hidden="false" customHeight="false" outlineLevel="0" collapsed="false">
      <c r="A12" s="31" t="n">
        <v>3</v>
      </c>
      <c r="B12" s="11" t="s">
        <v>158</v>
      </c>
      <c r="C12" s="11" t="s">
        <v>159</v>
      </c>
      <c r="D12" s="32" t="n">
        <v>1</v>
      </c>
      <c r="E12" s="33" t="n">
        <v>10</v>
      </c>
      <c r="F12" s="34" t="n">
        <v>210</v>
      </c>
      <c r="G12" s="35" t="str">
        <f aca="false">IF($AB12="","",IF(INDEX(Lib_Basis,$AB12)="Piece","pcs","cm"))</f>
        <v>cm</v>
      </c>
      <c r="H12" s="36" t="n">
        <f aca="false">IF(OR($AB12="",$AC12="",N($AC12)&lt;1,N($AC12)&gt;24),0,IF($AE12=0,INDEX(Engine_Grid,(WeightIdx-1)*75+$AB12,$AD12),IF(OR($AD12&gt;=24,INDEX(Engine_Grid,(WeightIdx-1)*75+$AB12,$AD12)=0,INDEX(Engine_Grid,(WeightIdx-1)*75+$AB12,$AD12+1)=0),0,INDEX(Engine_Grid,(WeightIdx-1)*75+$AB12,$AD12)*(1-$AE12)+INDEX(Engine_Grid,(WeightIdx-1)*75+$AB12,$AD12+1)*$AE12)))</f>
        <v>17.992125984252</v>
      </c>
      <c r="I12" s="37" t="n">
        <f aca="false">IF(OR($H12=0,N($F12)&lt;=0),0,$F12/100*$H12*IF(N($D12)&lt;1,1,$D12))</f>
        <v>37.7834645669291</v>
      </c>
      <c r="J12" s="38" t="n">
        <f aca="false">IF($AB12="","",INDEX(Lib_Needle,$AB12))</f>
        <v>0.22</v>
      </c>
      <c r="K12" s="38" t="n">
        <f aca="false">IF($AB12="","",INDEX(Lib_Bobbin,$AB12))</f>
        <v>0</v>
      </c>
      <c r="L12" s="38" t="n">
        <f aca="false">IF($AB12="","",INDEX(Lib_Looper,$AB12))</f>
        <v>0.78</v>
      </c>
      <c r="M12" s="38" t="n">
        <f aca="false">IF($AB12="","",INDEX(Lib_Cover,$AB12))</f>
        <v>0</v>
      </c>
      <c r="N12" s="11" t="s">
        <v>98</v>
      </c>
      <c r="O12" s="39" t="n">
        <f aca="false">IF($I12=0,0,IF($AF12="Y",$I12*$J12/IF(N($D12)&lt;1,1,$D12),$I12*$J12))</f>
        <v>8.31236220472441</v>
      </c>
      <c r="P12" s="11"/>
      <c r="Q12" s="39" t="n">
        <f aca="false">IF(AND($I12&gt;0,$AF12="Y",IF(N($D12)&lt;1,1,$D12)&gt;=2),$I12*$J12/IF(N($D12)&lt;1,1,$D12),0)</f>
        <v>0</v>
      </c>
      <c r="R12" s="11"/>
      <c r="S12" s="39" t="n">
        <f aca="false">IF(AND($I12&gt;0,$AF12="Y",IF(N($D12)&lt;1,1,$D12)&gt;=3),$I12*$J12/IF(N($D12)&lt;1,1,$D12),0)</f>
        <v>0</v>
      </c>
      <c r="T12" s="11"/>
      <c r="U12" s="39" t="n">
        <f aca="false">IF($I12=0,0,$I12*$K12)</f>
        <v>0</v>
      </c>
      <c r="V12" s="11" t="s">
        <v>99</v>
      </c>
      <c r="W12" s="39" t="n">
        <f aca="false">IF($I12=0,0,$I12*$L12)</f>
        <v>29.4711023622047</v>
      </c>
      <c r="X12" s="11"/>
      <c r="Y12" s="39" t="n">
        <f aca="false">IF($I12=0,0,$I12*$M12)</f>
        <v>0</v>
      </c>
      <c r="Z12" s="39" t="n">
        <f aca="false">IF($N12="",$O12,0)+IF($P12="",$Q12,0)+IF($R12="",$S12,0)+IF($T12="",$U12,0)+IF($V12="",$W12,0)+IF($X12="",$Y12,0)+IF(AND($AF12="Y",IF(N($D12)&lt;1,1,$D12)&gt;3),$I12*$J12*(IF(N($D12)&lt;1,1,$D12)-3)/IF(N($D12)&lt;1,1,$D12),0)</f>
        <v>0</v>
      </c>
      <c r="AA12" s="40" t="str">
        <f aca="false">IF(AND($C12="",N($F12)=0),"",IF($C12="","⚠ Select a stitch type",IF($AB12="","⚠ Stitch not in library",IF(N($F12)&lt;=0,"⚠ Enter "&amp;IF($G12="pcs","quantity","seam length (cm)"),IF(AND($G12="cm",N($E12)&lt;=0),"⚠ Enter SPI",IF($H12=0,"⚠ No factor at SPI "&amp;$E12&amp;" – valid "&amp;INDEX(Lib_MinSPI,$AB12)&amp;"–"&amp;INDEX(Lib_MaxSPI,$AB12),IF(AND($AF12="Y",IF(N($D12)&lt;1,1,$D12)&gt;3),"⚠ More than 3 rows – thread for extra rows not allocated",IF($Z12&gt;0.00001,"⚠ Assign threads ("&amp;TEXT($Z12,"0.00")&amp;" m unassigned)","✔ OK"))))))))</f>
        <v>✔ OK</v>
      </c>
      <c r="AB12" s="16" t="n">
        <f aca="false">IF($C12="","",IFERROR(MATCH($C12,Lib_Names,0),""))</f>
        <v>27</v>
      </c>
      <c r="AC12" s="41" t="n">
        <f aca="false">IF($AB12="","",IF(INDEX(Lib_Basis,$AB12)="Piece",1,N($E12)))</f>
        <v>10</v>
      </c>
      <c r="AD12" s="16" t="n">
        <f aca="false">IF($AC12="","",INT($AC12))</f>
        <v>10</v>
      </c>
      <c r="AE12" s="17" t="n">
        <f aca="false">IF($AC12="","",$AC12-$AD12)</f>
        <v>0</v>
      </c>
      <c r="AF12" s="35" t="str">
        <f aca="false">IF($AB12="","",INDEX(Lib_Multi,$AB12))</f>
        <v>Y</v>
      </c>
      <c r="AG12" s="42" t="str">
        <f aca="false">IF($AB12="","",INDEX(Lib_Cat,$AB12))</f>
        <v>Overlock / overedge</v>
      </c>
      <c r="AH12" s="39" t="n">
        <f aca="false">IF(N($F12)&lt;=0,0,$F12/100*IF(OR($AB12="",$AC12="",N($AC12)&lt;1,N($AC12)&gt;24),0,IF($AE12=0,INDEX(Engine_Grid,0+$AB12,$AD12),IF(OR($AD12&gt;=24,INDEX(Engine_Grid,0+$AB12,$AD12)=0,INDEX(Engine_Grid,0+$AB12,$AD12+1)=0),0,INDEX(Engine_Grid,0+$AB12,$AD12)*(1-$AE12)+INDEX(Engine_Grid,0+$AB12,$AD12+1)*$AE12)))*IF(N($D12)&lt;1,1,$D12))</f>
        <v>35.4685039370079</v>
      </c>
      <c r="AI12" s="39" t="n">
        <f aca="false">IF(N($F12)&lt;=0,0,$F12/100*IF(OR($AB12="",$AC12="",N($AC12)&lt;1,N($AC12)&gt;24),0,IF($AE12=0,INDEX(Engine_Grid,75+$AB12,$AD12),IF(OR($AD12&gt;=24,INDEX(Engine_Grid,75+$AB12,$AD12)=0,INDEX(Engine_Grid,75+$AB12,$AD12+1)=0),0,INDEX(Engine_Grid,75+$AB12,$AD12)*(1-$AE12)+INDEX(Engine_Grid,75+$AB12,$AD12+1)*$AE12)))*IF(N($D12)&lt;1,1,$D12))</f>
        <v>37.7834645669291</v>
      </c>
      <c r="AJ12" s="39" t="n">
        <f aca="false">IF(N($F12)&lt;=0,0,$F12/100*IF(OR($AB12="",$AC12="",N($AC12)&lt;1,N($AC12)&gt;24),0,IF($AE12=0,INDEX(Engine_Grid,150+$AB12,$AD12),IF(OR($AD12&gt;=24,INDEX(Engine_Grid,150+$AB12,$AD12)=0,INDEX(Engine_Grid,150+$AB12,$AD12+1)=0),0,INDEX(Engine_Grid,150+$AB12,$AD12)*(1-$AE12)+INDEX(Engine_Grid,150+$AB12,$AD12+1)*$AE12)))*IF(N($D12)&lt;1,1,$D12))</f>
        <v>41.0905511811024</v>
      </c>
      <c r="AK12" s="39" t="n">
        <f aca="false">IF(N($F12)&lt;=0,0,$F12/100*IF(OR($AB12="",$AC12="",N($AC12)&lt;1,N($AC12)&gt;24),0,IF($AE12=0,INDEX(Engine_Grid,225+$AB12,$AD12),IF(OR($AD12&gt;=24,INDEX(Engine_Grid,225+$AB12,$AD12)=0,INDEX(Engine_Grid,225+$AB12,$AD12+1)=0),0,INDEX(Engine_Grid,225+$AB12,$AD12)*(1-$AE12)+INDEX(Engine_Grid,225+$AB12,$AD12+1)*$AE12)))*IF(N($D12)&lt;1,1,$D12))</f>
        <v>39.4370078740158</v>
      </c>
    </row>
    <row r="13" customFormat="false" ht="15" hidden="false" customHeight="false" outlineLevel="0" collapsed="false">
      <c r="A13" s="31" t="n">
        <v>4</v>
      </c>
      <c r="B13" s="11" t="s">
        <v>160</v>
      </c>
      <c r="C13" s="11" t="s">
        <v>161</v>
      </c>
      <c r="D13" s="32" t="n">
        <v>1</v>
      </c>
      <c r="E13" s="33" t="n">
        <v>10</v>
      </c>
      <c r="F13" s="34" t="n">
        <v>150</v>
      </c>
      <c r="G13" s="35" t="str">
        <f aca="false">IF($AB13="","",IF(INDEX(Lib_Basis,$AB13)="Piece","pcs","cm"))</f>
        <v>cm</v>
      </c>
      <c r="H13" s="36" t="n">
        <f aca="false">IF(OR($AB13="",$AC13="",N($AC13)&lt;1,N($AC13)&gt;24),0,IF($AE13=0,INDEX(Engine_Grid,(WeightIdx-1)*75+$AB13,$AD13),IF(OR($AD13&gt;=24,INDEX(Engine_Grid,(WeightIdx-1)*75+$AB13,$AD13)=0,INDEX(Engine_Grid,(WeightIdx-1)*75+$AB13,$AD13+1)=0),0,INDEX(Engine_Grid,(WeightIdx-1)*75+$AB13,$AD13)*(1-$AE13)+INDEX(Engine_Grid,(WeightIdx-1)*75+$AB13,$AD13+1)*$AE13)))</f>
        <v>5.49606299212598</v>
      </c>
      <c r="I13" s="37" t="n">
        <f aca="false">IF(OR($H13=0,N($F13)&lt;=0),0,$F13/100*$H13*IF(N($D13)&lt;1,1,$D13))</f>
        <v>8.24409448818898</v>
      </c>
      <c r="J13" s="38" t="n">
        <f aca="false">IF($AB13="","",INDEX(Lib_Needle,$AB13))</f>
        <v>0.55</v>
      </c>
      <c r="K13" s="38" t="n">
        <f aca="false">IF($AB13="","",INDEX(Lib_Bobbin,$AB13))</f>
        <v>0</v>
      </c>
      <c r="L13" s="38" t="n">
        <f aca="false">IF($AB13="","",INDEX(Lib_Looper,$AB13))</f>
        <v>0.45</v>
      </c>
      <c r="M13" s="38" t="n">
        <f aca="false">IF($AB13="","",INDEX(Lib_Cover,$AB13))</f>
        <v>0</v>
      </c>
      <c r="N13" s="11" t="s">
        <v>98</v>
      </c>
      <c r="O13" s="39" t="n">
        <f aca="false">IF($I13=0,0,IF($AF13="Y",$I13*$J13/IF(N($D13)&lt;1,1,$D13),$I13*$J13))</f>
        <v>4.53425196850394</v>
      </c>
      <c r="P13" s="11"/>
      <c r="Q13" s="39" t="n">
        <f aca="false">IF(AND($I13&gt;0,$AF13="Y",IF(N($D13)&lt;1,1,$D13)&gt;=2),$I13*$J13/IF(N($D13)&lt;1,1,$D13),0)</f>
        <v>0</v>
      </c>
      <c r="R13" s="11"/>
      <c r="S13" s="39" t="n">
        <f aca="false">IF(AND($I13&gt;0,$AF13="Y",IF(N($D13)&lt;1,1,$D13)&gt;=3),$I13*$J13/IF(N($D13)&lt;1,1,$D13),0)</f>
        <v>0</v>
      </c>
      <c r="T13" s="11"/>
      <c r="U13" s="39" t="n">
        <f aca="false">IF($I13=0,0,$I13*$K13)</f>
        <v>0</v>
      </c>
      <c r="V13" s="11" t="s">
        <v>99</v>
      </c>
      <c r="W13" s="39" t="n">
        <f aca="false">IF($I13=0,0,$I13*$L13)</f>
        <v>3.70984251968504</v>
      </c>
      <c r="X13" s="11"/>
      <c r="Y13" s="39" t="n">
        <f aca="false">IF($I13=0,0,$I13*$M13)</f>
        <v>0</v>
      </c>
      <c r="Z13" s="39" t="n">
        <f aca="false">IF($N13="",$O13,0)+IF($P13="",$Q13,0)+IF($R13="",$S13,0)+IF($T13="",$U13,0)+IF($V13="",$W13,0)+IF($X13="",$Y13,0)+IF(AND($AF13="Y",IF(N($D13)&lt;1,1,$D13)&gt;3),$I13*$J13*(IF(N($D13)&lt;1,1,$D13)-3)/IF(N($D13)&lt;1,1,$D13),0)</f>
        <v>0</v>
      </c>
      <c r="AA13" s="40" t="str">
        <f aca="false">IF(AND($C13="",N($F13)=0),"",IF($C13="","⚠ Select a stitch type",IF($AB13="","⚠ Stitch not in library",IF(N($F13)&lt;=0,"⚠ Enter "&amp;IF($G13="pcs","quantity","seam length (cm)"),IF(AND($G13="cm",N($E13)&lt;=0),"⚠ Enter SPI",IF($H13=0,"⚠ No factor at SPI "&amp;$E13&amp;" – valid "&amp;INDEX(Lib_MinSPI,$AB13)&amp;"–"&amp;INDEX(Lib_MaxSPI,$AB13),IF(AND($AF13="Y",IF(N($D13)&lt;1,1,$D13)&gt;3),"⚠ More than 3 rows – thread for extra rows not allocated",IF($Z13&gt;0.00001,"⚠ Assign threads ("&amp;TEXT($Z13,"0.00")&amp;" m unassigned)","✔ OK"))))))))</f>
        <v>✔ OK</v>
      </c>
      <c r="AB13" s="16" t="n">
        <f aca="false">IF($C13="","",IFERROR(MATCH($C13,Lib_Names,0),""))</f>
        <v>14</v>
      </c>
      <c r="AC13" s="41" t="n">
        <f aca="false">IF($AB13="","",IF(INDEX(Lib_Basis,$AB13)="Piece",1,N($E13)))</f>
        <v>10</v>
      </c>
      <c r="AD13" s="16" t="n">
        <f aca="false">IF($AC13="","",INT($AC13))</f>
        <v>10</v>
      </c>
      <c r="AE13" s="17" t="n">
        <f aca="false">IF($AC13="","",$AC13-$AD13)</f>
        <v>0</v>
      </c>
      <c r="AF13" s="35" t="str">
        <f aca="false">IF($AB13="","",INDEX(Lib_Multi,$AB13))</f>
        <v>Y</v>
      </c>
      <c r="AG13" s="42" t="str">
        <f aca="false">IF($AB13="","",INDEX(Lib_Cat,$AB13))</f>
        <v>Chainstitch</v>
      </c>
      <c r="AH13" s="39" t="n">
        <f aca="false">IF(N($F13)&lt;=0,0,$F13/100*IF(OR($AB13="",$AC13="",N($AC13)&lt;1,N($AC13)&gt;24),0,IF($AE13=0,INDEX(Engine_Grid,0+$AB13,$AD13),IF(OR($AD13&gt;=24,INDEX(Engine_Grid,0+$AB13,$AD13)=0,INDEX(Engine_Grid,0+$AB13,$AD13+1)=0),0,INDEX(Engine_Grid,0+$AB13,$AD13)*(1-$AE13)+INDEX(Engine_Grid,0+$AB13,$AD13+1)*$AE13)))*IF(N($D13)&lt;1,1,$D13))</f>
        <v>7.41732283464567</v>
      </c>
      <c r="AI13" s="39" t="n">
        <f aca="false">IF(N($F13)&lt;=0,0,$F13/100*IF(OR($AB13="",$AC13="",N($AC13)&lt;1,N($AC13)&gt;24),0,IF($AE13=0,INDEX(Engine_Grid,75+$AB13,$AD13),IF(OR($AD13&gt;=24,INDEX(Engine_Grid,75+$AB13,$AD13)=0,INDEX(Engine_Grid,75+$AB13,$AD13+1)=0),0,INDEX(Engine_Grid,75+$AB13,$AD13)*(1-$AE13)+INDEX(Engine_Grid,75+$AB13,$AD13+1)*$AE13)))*IF(N($D13)&lt;1,1,$D13))</f>
        <v>8.24409448818898</v>
      </c>
      <c r="AJ13" s="39" t="n">
        <f aca="false">IF(N($F13)&lt;=0,0,$F13/100*IF(OR($AB13="",$AC13="",N($AC13)&lt;1,N($AC13)&gt;24),0,IF($AE13=0,INDEX(Engine_Grid,150+$AB13,$AD13),IF(OR($AD13&gt;=24,INDEX(Engine_Grid,150+$AB13,$AD13)=0,INDEX(Engine_Grid,150+$AB13,$AD13+1)=0),0,INDEX(Engine_Grid,150+$AB13,$AD13)*(1-$AE13)+INDEX(Engine_Grid,150+$AB13,$AD13+1)*$AE13)))*IF(N($D13)&lt;1,1,$D13))</f>
        <v>9.4251968503937</v>
      </c>
      <c r="AK13" s="39" t="n">
        <f aca="false">IF(N($F13)&lt;=0,0,$F13/100*IF(OR($AB13="",$AC13="",N($AC13)&lt;1,N($AC13)&gt;24),0,IF($AE13=0,INDEX(Engine_Grid,225+$AB13,$AD13),IF(OR($AD13&gt;=24,INDEX(Engine_Grid,225+$AB13,$AD13)=0,INDEX(Engine_Grid,225+$AB13,$AD13+1)=0),0,INDEX(Engine_Grid,225+$AB13,$AD13)*(1-$AE13)+INDEX(Engine_Grid,225+$AB13,$AD13+1)*$AE13)))*IF(N($D13)&lt;1,1,$D13))</f>
        <v>8.83464566929134</v>
      </c>
    </row>
    <row r="14" customFormat="false" ht="15" hidden="false" customHeight="false" outlineLevel="0" collapsed="false">
      <c r="A14" s="31" t="n">
        <v>5</v>
      </c>
      <c r="B14" s="11" t="s">
        <v>162</v>
      </c>
      <c r="C14" s="11" t="s">
        <v>156</v>
      </c>
      <c r="D14" s="32" t="n">
        <v>2</v>
      </c>
      <c r="E14" s="33" t="n">
        <v>12</v>
      </c>
      <c r="F14" s="34" t="n">
        <v>96</v>
      </c>
      <c r="G14" s="35" t="str">
        <f aca="false">IF($AB14="","",IF(INDEX(Lib_Basis,$AB14)="Piece","pcs","cm"))</f>
        <v>cm</v>
      </c>
      <c r="H14" s="36" t="n">
        <f aca="false">IF(OR($AB14="",$AC14="",N($AC14)&lt;1,N($AC14)&gt;24),0,IF($AE14=0,INDEX(Engine_Grid,(WeightIdx-1)*75+$AB14,$AD14),IF(OR($AD14&gt;=24,INDEX(Engine_Grid,(WeightIdx-1)*75+$AB14,$AD14)=0,INDEX(Engine_Grid,(WeightIdx-1)*75+$AB14,$AD14+1)=0),0,INDEX(Engine_Grid,(WeightIdx-1)*75+$AB14,$AD14)*(1-$AE14)+INDEX(Engine_Grid,(WeightIdx-1)*75+$AB14,$AD14+1)*$AE14)))</f>
        <v>3.79527559055118</v>
      </c>
      <c r="I14" s="37" t="n">
        <f aca="false">IF(OR($H14=0,N($F14)&lt;=0),0,$F14/100*$H14*IF(N($D14)&lt;1,1,$D14))</f>
        <v>7.28692913385827</v>
      </c>
      <c r="J14" s="38" t="n">
        <f aca="false">IF($AB14="","",INDEX(Lib_Needle,$AB14))</f>
        <v>0.51</v>
      </c>
      <c r="K14" s="38" t="n">
        <f aca="false">IF($AB14="","",INDEX(Lib_Bobbin,$AB14))</f>
        <v>0.49</v>
      </c>
      <c r="L14" s="38" t="n">
        <f aca="false">IF($AB14="","",INDEX(Lib_Looper,$AB14))</f>
        <v>0</v>
      </c>
      <c r="M14" s="38" t="n">
        <f aca="false">IF($AB14="","",INDEX(Lib_Cover,$AB14))</f>
        <v>0</v>
      </c>
      <c r="N14" s="11" t="s">
        <v>98</v>
      </c>
      <c r="O14" s="39" t="n">
        <f aca="false">IF($I14=0,0,IF($AF14="Y",$I14*$J14/IF(N($D14)&lt;1,1,$D14),$I14*$J14))</f>
        <v>1.85816692913386</v>
      </c>
      <c r="P14" s="11" t="s">
        <v>98</v>
      </c>
      <c r="Q14" s="39" t="n">
        <f aca="false">IF(AND($I14&gt;0,$AF14="Y",IF(N($D14)&lt;1,1,$D14)&gt;=2),$I14*$J14/IF(N($D14)&lt;1,1,$D14),0)</f>
        <v>1.85816692913386</v>
      </c>
      <c r="R14" s="11"/>
      <c r="S14" s="39" t="n">
        <f aca="false">IF(AND($I14&gt;0,$AF14="Y",IF(N($D14)&lt;1,1,$D14)&gt;=3),$I14*$J14/IF(N($D14)&lt;1,1,$D14),0)</f>
        <v>0</v>
      </c>
      <c r="T14" s="11" t="s">
        <v>99</v>
      </c>
      <c r="U14" s="39" t="n">
        <f aca="false">IF($I14=0,0,$I14*$K14)</f>
        <v>3.57059527559055</v>
      </c>
      <c r="V14" s="11"/>
      <c r="W14" s="39" t="n">
        <f aca="false">IF($I14=0,0,$I14*$L14)</f>
        <v>0</v>
      </c>
      <c r="X14" s="11"/>
      <c r="Y14" s="39" t="n">
        <f aca="false">IF($I14=0,0,$I14*$M14)</f>
        <v>0</v>
      </c>
      <c r="Z14" s="39" t="n">
        <f aca="false">IF($N14="",$O14,0)+IF($P14="",$Q14,0)+IF($R14="",$S14,0)+IF($T14="",$U14,0)+IF($V14="",$W14,0)+IF($X14="",$Y14,0)+IF(AND($AF14="Y",IF(N($D14)&lt;1,1,$D14)&gt;3),$I14*$J14*(IF(N($D14)&lt;1,1,$D14)-3)/IF(N($D14)&lt;1,1,$D14),0)</f>
        <v>0</v>
      </c>
      <c r="AA14" s="40" t="str">
        <f aca="false">IF(AND($C14="",N($F14)=0),"",IF($C14="","⚠ Select a stitch type",IF($AB14="","⚠ Stitch not in library",IF(N($F14)&lt;=0,"⚠ Enter "&amp;IF($G14="pcs","quantity","seam length (cm)"),IF(AND($G14="cm",N($E14)&lt;=0),"⚠ Enter SPI",IF($H14=0,"⚠ No factor at SPI "&amp;$E14&amp;" – valid "&amp;INDEX(Lib_MinSPI,$AB14)&amp;"–"&amp;INDEX(Lib_MaxSPI,$AB14),IF(AND($AF14="Y",IF(N($D14)&lt;1,1,$D14)&gt;3),"⚠ More than 3 rows – thread for extra rows not allocated",IF($Z14&gt;0.00001,"⚠ Assign threads ("&amp;TEXT($Z14,"0.00")&amp;" m unassigned)","✔ OK"))))))))</f>
        <v>✔ OK</v>
      </c>
      <c r="AB14" s="16" t="n">
        <f aca="false">IF($C14="","",IFERROR(MATCH($C14,Lib_Names,0),""))</f>
        <v>7</v>
      </c>
      <c r="AC14" s="41" t="n">
        <f aca="false">IF($AB14="","",IF(INDEX(Lib_Basis,$AB14)="Piece",1,N($E14)))</f>
        <v>12</v>
      </c>
      <c r="AD14" s="16" t="n">
        <f aca="false">IF($AC14="","",INT($AC14))</f>
        <v>12</v>
      </c>
      <c r="AE14" s="17" t="n">
        <f aca="false">IF($AC14="","",$AC14-$AD14)</f>
        <v>0</v>
      </c>
      <c r="AF14" s="35" t="str">
        <f aca="false">IF($AB14="","",INDEX(Lib_Multi,$AB14))</f>
        <v>Y</v>
      </c>
      <c r="AG14" s="42" t="str">
        <f aca="false">IF($AB14="","",INDEX(Lib_Cat,$AB14))</f>
        <v>Lockstitch / zigzag</v>
      </c>
      <c r="AH14" s="39" t="n">
        <f aca="false">IF(N($F14)&lt;=0,0,$F14/100*IF(OR($AB14="",$AC14="",N($AC14)&lt;1,N($AC14)&gt;24),0,IF($AE14=0,INDEX(Engine_Grid,0+$AB14,$AD14),IF(OR($AD14&gt;=24,INDEX(Engine_Grid,0+$AB14,$AD14)=0,INDEX(Engine_Grid,0+$AB14,$AD14+1)=0),0,INDEX(Engine_Grid,0+$AB14,$AD14)*(1-$AE14)+INDEX(Engine_Grid,0+$AB14,$AD14+1)*$AE14)))*IF(N($D14)&lt;1,1,$D14))</f>
        <v>6.01700787401575</v>
      </c>
      <c r="AI14" s="39" t="n">
        <f aca="false">IF(N($F14)&lt;=0,0,$F14/100*IF(OR($AB14="",$AC14="",N($AC14)&lt;1,N($AC14)&gt;24),0,IF($AE14=0,INDEX(Engine_Grid,75+$AB14,$AD14),IF(OR($AD14&gt;=24,INDEX(Engine_Grid,75+$AB14,$AD14)=0,INDEX(Engine_Grid,75+$AB14,$AD14+1)=0),0,INDEX(Engine_Grid,75+$AB14,$AD14)*(1-$AE14)+INDEX(Engine_Grid,75+$AB14,$AD14+1)*$AE14)))*IF(N($D14)&lt;1,1,$D14))</f>
        <v>7.28692913385827</v>
      </c>
      <c r="AJ14" s="39" t="n">
        <f aca="false">IF(N($F14)&lt;=0,0,$F14/100*IF(OR($AB14="",$AC14="",N($AC14)&lt;1,N($AC14)&gt;24),0,IF($AE14=0,INDEX(Engine_Grid,150+$AB14,$AD14),IF(OR($AD14&gt;=24,INDEX(Engine_Grid,150+$AB14,$AD14)=0,INDEX(Engine_Grid,150+$AB14,$AD14+1)=0),0,INDEX(Engine_Grid,150+$AB14,$AD14)*(1-$AE14)+INDEX(Engine_Grid,150+$AB14,$AD14+1)*$AE14)))*IF(N($D14)&lt;1,1,$D14))</f>
        <v>9.10110236220473</v>
      </c>
      <c r="AK14" s="39" t="n">
        <f aca="false">IF(N($F14)&lt;=0,0,$F14/100*IF(OR($AB14="",$AC14="",N($AC14)&lt;1,N($AC14)&gt;24),0,IF($AE14=0,INDEX(Engine_Grid,225+$AB14,$AD14),IF(OR($AD14&gt;=24,INDEX(Engine_Grid,225+$AB14,$AD14)=0,INDEX(Engine_Grid,225+$AB14,$AD14+1)=0),0,INDEX(Engine_Grid,225+$AB14,$AD14)*(1-$AE14)+INDEX(Engine_Grid,225+$AB14,$AD14+1)*$AE14)))*IF(N($D14)&lt;1,1,$D14))</f>
        <v>8.1940157480315</v>
      </c>
    </row>
    <row r="15" customFormat="false" ht="15" hidden="false" customHeight="false" outlineLevel="0" collapsed="false">
      <c r="A15" s="31" t="n">
        <v>6</v>
      </c>
      <c r="B15" s="11" t="s">
        <v>163</v>
      </c>
      <c r="C15" s="11" t="s">
        <v>164</v>
      </c>
      <c r="D15" s="32" t="n">
        <v>1</v>
      </c>
      <c r="E15" s="33" t="n">
        <v>6</v>
      </c>
      <c r="F15" s="34" t="n">
        <v>110</v>
      </c>
      <c r="G15" s="35" t="str">
        <f aca="false">IF($AB15="","",IF(INDEX(Lib_Basis,$AB15)="Piece","pcs","cm"))</f>
        <v>cm</v>
      </c>
      <c r="H15" s="36" t="n">
        <f aca="false">IF(OR($AB15="",$AC15="",N($AC15)&lt;1,N($AC15)&gt;24),0,IF($AE15=0,INDEX(Engine_Grid,(WeightIdx-1)*75+$AB15,$AD15),IF(OR($AD15&gt;=24,INDEX(Engine_Grid,(WeightIdx-1)*75+$AB15,$AD15)=0,INDEX(Engine_Grid,(WeightIdx-1)*75+$AB15,$AD15+1)=0),0,INDEX(Engine_Grid,(WeightIdx-1)*75+$AB15,$AD15)*(1-$AE15)+INDEX(Engine_Grid,(WeightIdx-1)*75+$AB15,$AD15+1)*$AE15)))</f>
        <v>3.84</v>
      </c>
      <c r="I15" s="37" t="n">
        <f aca="false">IF(OR($H15=0,N($F15)&lt;=0),0,$F15/100*$H15*IF(N($D15)&lt;1,1,$D15))</f>
        <v>4.224</v>
      </c>
      <c r="J15" s="38" t="n">
        <f aca="false">IF($AB15="","",INDEX(Lib_Needle,$AB15))</f>
        <v>1</v>
      </c>
      <c r="K15" s="38" t="n">
        <f aca="false">IF($AB15="","",INDEX(Lib_Bobbin,$AB15))</f>
        <v>0</v>
      </c>
      <c r="L15" s="38" t="n">
        <f aca="false">IF($AB15="","",INDEX(Lib_Looper,$AB15))</f>
        <v>0</v>
      </c>
      <c r="M15" s="38" t="n">
        <f aca="false">IF($AB15="","",INDEX(Lib_Cover,$AB15))</f>
        <v>0</v>
      </c>
      <c r="N15" s="11" t="s">
        <v>98</v>
      </c>
      <c r="O15" s="39" t="n">
        <f aca="false">IF($I15=0,0,IF($AF15="Y",$I15*$J15/IF(N($D15)&lt;1,1,$D15),$I15*$J15))</f>
        <v>4.224</v>
      </c>
      <c r="P15" s="11"/>
      <c r="Q15" s="39" t="n">
        <f aca="false">IF(AND($I15&gt;0,$AF15="Y",IF(N($D15)&lt;1,1,$D15)&gt;=2),$I15*$J15/IF(N($D15)&lt;1,1,$D15),0)</f>
        <v>0</v>
      </c>
      <c r="R15" s="11"/>
      <c r="S15" s="39" t="n">
        <f aca="false">IF(AND($I15&gt;0,$AF15="Y",IF(N($D15)&lt;1,1,$D15)&gt;=3),$I15*$J15/IF(N($D15)&lt;1,1,$D15),0)</f>
        <v>0</v>
      </c>
      <c r="T15" s="11"/>
      <c r="U15" s="39" t="n">
        <f aca="false">IF($I15=0,0,$I15*$K15)</f>
        <v>0</v>
      </c>
      <c r="V15" s="11"/>
      <c r="W15" s="39" t="n">
        <f aca="false">IF($I15=0,0,$I15*$L15)</f>
        <v>0</v>
      </c>
      <c r="X15" s="11"/>
      <c r="Y15" s="39" t="n">
        <f aca="false">IF($I15=0,0,$I15*$M15)</f>
        <v>0</v>
      </c>
      <c r="Z15" s="39" t="n">
        <f aca="false">IF($N15="",$O15,0)+IF($P15="",$Q15,0)+IF($R15="",$S15,0)+IF($T15="",$U15,0)+IF($V15="",$W15,0)+IF($X15="",$Y15,0)+IF(AND($AF15="Y",IF(N($D15)&lt;1,1,$D15)&gt;3),$I15*$J15*(IF(N($D15)&lt;1,1,$D15)-3)/IF(N($D15)&lt;1,1,$D15),0)</f>
        <v>0</v>
      </c>
      <c r="AA15" s="40" t="str">
        <f aca="false">IF(AND($C15="",N($F15)=0),"",IF($C15="","⚠ Select a stitch type",IF($AB15="","⚠ Stitch not in library",IF(N($F15)&lt;=0,"⚠ Enter "&amp;IF($G15="pcs","quantity","seam length (cm)"),IF(AND($G15="cm",N($E15)&lt;=0),"⚠ Enter SPI",IF($H15=0,"⚠ No factor at SPI "&amp;$E15&amp;" – valid "&amp;INDEX(Lib_MinSPI,$AB15)&amp;"–"&amp;INDEX(Lib_MaxSPI,$AB15),IF(AND($AF15="Y",IF(N($D15)&lt;1,1,$D15)&gt;3),"⚠ More than 3 rows – thread for extra rows not allocated",IF($Z15&gt;0.00001,"⚠ Assign threads ("&amp;TEXT($Z15,"0.00")&amp;" m unassigned)","✔ OK"))))))))</f>
        <v>✔ OK</v>
      </c>
      <c r="AB15" s="16" t="n">
        <f aca="false">IF($C15="","",IFERROR(MATCH($C15,Lib_Names,0),""))</f>
        <v>1</v>
      </c>
      <c r="AC15" s="41" t="n">
        <f aca="false">IF($AB15="","",IF(INDEX(Lib_Basis,$AB15)="Piece",1,N($E15)))</f>
        <v>6</v>
      </c>
      <c r="AD15" s="16" t="n">
        <f aca="false">IF($AC15="","",INT($AC15))</f>
        <v>6</v>
      </c>
      <c r="AE15" s="17" t="n">
        <f aca="false">IF($AC15="","",$AC15-$AD15)</f>
        <v>0</v>
      </c>
      <c r="AF15" s="35" t="str">
        <f aca="false">IF($AB15="","",INDEX(Lib_Multi,$AB15))</f>
        <v>Y</v>
      </c>
      <c r="AG15" s="42" t="str">
        <f aca="false">IF($AB15="","",INDEX(Lib_Cat,$AB15))</f>
        <v>Blind / saddle stitch</v>
      </c>
      <c r="AH15" s="39" t="n">
        <f aca="false">IF(N($F15)&lt;=0,0,$F15/100*IF(OR($AB15="",$AC15="",N($AC15)&lt;1,N($AC15)&gt;24),0,IF($AE15=0,INDEX(Engine_Grid,0+$AB15,$AD15),IF(OR($AD15&gt;=24,INDEX(Engine_Grid,0+$AB15,$AD15)=0,INDEX(Engine_Grid,0+$AB15,$AD15+1)=0),0,INDEX(Engine_Grid,0+$AB15,$AD15)*(1-$AE15)+INDEX(Engine_Grid,0+$AB15,$AD15+1)*$AE15)))*IF(N($D15)&lt;1,1,$D15))</f>
        <v>4.224</v>
      </c>
      <c r="AI15" s="39" t="n">
        <f aca="false">IF(N($F15)&lt;=0,0,$F15/100*IF(OR($AB15="",$AC15="",N($AC15)&lt;1,N($AC15)&gt;24),0,IF($AE15=0,INDEX(Engine_Grid,75+$AB15,$AD15),IF(OR($AD15&gt;=24,INDEX(Engine_Grid,75+$AB15,$AD15)=0,INDEX(Engine_Grid,75+$AB15,$AD15+1)=0),0,INDEX(Engine_Grid,75+$AB15,$AD15)*(1-$AE15)+INDEX(Engine_Grid,75+$AB15,$AD15+1)*$AE15)))*IF(N($D15)&lt;1,1,$D15))</f>
        <v>4.224</v>
      </c>
      <c r="AJ15" s="39" t="n">
        <f aca="false">IF(N($F15)&lt;=0,0,$F15/100*IF(OR($AB15="",$AC15="",N($AC15)&lt;1,N($AC15)&gt;24),0,IF($AE15=0,INDEX(Engine_Grid,150+$AB15,$AD15),IF(OR($AD15&gt;=24,INDEX(Engine_Grid,150+$AB15,$AD15)=0,INDEX(Engine_Grid,150+$AB15,$AD15+1)=0),0,INDEX(Engine_Grid,150+$AB15,$AD15)*(1-$AE15)+INDEX(Engine_Grid,150+$AB15,$AD15+1)*$AE15)))*IF(N($D15)&lt;1,1,$D15))</f>
        <v>4.224</v>
      </c>
      <c r="AK15" s="39" t="n">
        <f aca="false">IF(N($F15)&lt;=0,0,$F15/100*IF(OR($AB15="",$AC15="",N($AC15)&lt;1,N($AC15)&gt;24),0,IF($AE15=0,INDEX(Engine_Grid,225+$AB15,$AD15),IF(OR($AD15&gt;=24,INDEX(Engine_Grid,225+$AB15,$AD15)=0,INDEX(Engine_Grid,225+$AB15,$AD15+1)=0),0,INDEX(Engine_Grid,225+$AB15,$AD15)*(1-$AE15)+INDEX(Engine_Grid,225+$AB15,$AD15+1)*$AE15)))*IF(N($D15)&lt;1,1,$D15))</f>
        <v>4.224</v>
      </c>
    </row>
    <row r="16" customFormat="false" ht="15" hidden="false" customHeight="false" outlineLevel="0" collapsed="false">
      <c r="A16" s="31" t="n">
        <v>7</v>
      </c>
      <c r="B16" s="11" t="s">
        <v>165</v>
      </c>
      <c r="C16" s="11" t="s">
        <v>166</v>
      </c>
      <c r="D16" s="32"/>
      <c r="E16" s="33"/>
      <c r="F16" s="34" t="n">
        <v>7</v>
      </c>
      <c r="G16" s="35" t="str">
        <f aca="false">IF($AB16="","",IF(INDEX(Lib_Basis,$AB16)="Piece","pcs","cm"))</f>
        <v>pcs</v>
      </c>
      <c r="H16" s="36" t="n">
        <f aca="false">IF(OR($AB16="",$AC16="",N($AC16)&lt;1,N($AC16)&gt;24),0,IF($AE16=0,INDEX(Engine_Grid,(WeightIdx-1)*75+$AB16,$AD16),IF(OR($AD16&gt;=24,INDEX(Engine_Grid,(WeightIdx-1)*75+$AB16,$AD16)=0,INDEX(Engine_Grid,(WeightIdx-1)*75+$AB16,$AD16+1)=0),0,INDEX(Engine_Grid,(WeightIdx-1)*75+$AB16,$AD16)*(1-$AE16)+INDEX(Engine_Grid,(WeightIdx-1)*75+$AB16,$AD16+1)*$AE16)))</f>
        <v>14</v>
      </c>
      <c r="I16" s="37" t="n">
        <f aca="false">IF(OR($H16=0,N($F16)&lt;=0),0,$F16/100*$H16*IF(N($D16)&lt;1,1,$D16))</f>
        <v>0.98</v>
      </c>
      <c r="J16" s="38" t="n">
        <f aca="false">IF($AB16="","",INDEX(Lib_Needle,$AB16))</f>
        <v>0.77</v>
      </c>
      <c r="K16" s="38" t="n">
        <f aca="false">IF($AB16="","",INDEX(Lib_Bobbin,$AB16))</f>
        <v>0.23</v>
      </c>
      <c r="L16" s="38" t="n">
        <f aca="false">IF($AB16="","",INDEX(Lib_Looper,$AB16))</f>
        <v>0</v>
      </c>
      <c r="M16" s="38" t="n">
        <f aca="false">IF($AB16="","",INDEX(Lib_Cover,$AB16))</f>
        <v>0</v>
      </c>
      <c r="N16" s="11" t="s">
        <v>100</v>
      </c>
      <c r="O16" s="39" t="n">
        <f aca="false">IF($I16=0,0,IF($AF16="Y",$I16*$J16/IF(N($D16)&lt;1,1,$D16),$I16*$J16))</f>
        <v>0.7546</v>
      </c>
      <c r="P16" s="11"/>
      <c r="Q16" s="39" t="n">
        <f aca="false">IF(AND($I16&gt;0,$AF16="Y",IF(N($D16)&lt;1,1,$D16)&gt;=2),$I16*$J16/IF(N($D16)&lt;1,1,$D16),0)</f>
        <v>0</v>
      </c>
      <c r="R16" s="11"/>
      <c r="S16" s="39" t="n">
        <f aca="false">IF(AND($I16&gt;0,$AF16="Y",IF(N($D16)&lt;1,1,$D16)&gt;=3),$I16*$J16/IF(N($D16)&lt;1,1,$D16),0)</f>
        <v>0</v>
      </c>
      <c r="T16" s="11" t="s">
        <v>100</v>
      </c>
      <c r="U16" s="39" t="n">
        <f aca="false">IF($I16=0,0,$I16*$K16)</f>
        <v>0.2254</v>
      </c>
      <c r="V16" s="11"/>
      <c r="W16" s="39" t="n">
        <f aca="false">IF($I16=0,0,$I16*$L16)</f>
        <v>0</v>
      </c>
      <c r="X16" s="11"/>
      <c r="Y16" s="39" t="n">
        <f aca="false">IF($I16=0,0,$I16*$M16)</f>
        <v>0</v>
      </c>
      <c r="Z16" s="39" t="n">
        <f aca="false">IF($N16="",$O16,0)+IF($P16="",$Q16,0)+IF($R16="",$S16,0)+IF($T16="",$U16,0)+IF($V16="",$W16,0)+IF($X16="",$Y16,0)+IF(AND($AF16="Y",IF(N($D16)&lt;1,1,$D16)&gt;3),$I16*$J16*(IF(N($D16)&lt;1,1,$D16)-3)/IF(N($D16)&lt;1,1,$D16),0)</f>
        <v>0</v>
      </c>
      <c r="AA16" s="40" t="str">
        <f aca="false">IF(AND($C16="",N($F16)=0),"",IF($C16="","⚠ Select a stitch type",IF($AB16="","⚠ Stitch not in library",IF(N($F16)&lt;=0,"⚠ Enter "&amp;IF($G16="pcs","quantity","seam length (cm)"),IF(AND($G16="cm",N($E16)&lt;=0),"⚠ Enter SPI",IF($H16=0,"⚠ No factor at SPI "&amp;$E16&amp;" – valid "&amp;INDEX(Lib_MinSPI,$AB16)&amp;"–"&amp;INDEX(Lib_MaxSPI,$AB16),IF(AND($AF16="Y",IF(N($D16)&lt;1,1,$D16)&gt;3),"⚠ More than 3 rows – thread for extra rows not allocated",IF($Z16&gt;0.00001,"⚠ Assign threads ("&amp;TEXT($Z16,"0.00")&amp;" m unassigned)","✔ OK"))))))))</f>
        <v>✔ OK</v>
      </c>
      <c r="AB16" s="16" t="n">
        <f aca="false">IF($C16="","",IFERROR(MATCH($C16,Lib_Names,0),""))</f>
        <v>50</v>
      </c>
      <c r="AC16" s="41" t="n">
        <f aca="false">IF($AB16="","",IF(INDEX(Lib_Basis,$AB16)="Piece",1,N($E16)))</f>
        <v>1</v>
      </c>
      <c r="AD16" s="16" t="n">
        <f aca="false">IF($AC16="","",INT($AC16))</f>
        <v>1</v>
      </c>
      <c r="AE16" s="17" t="n">
        <f aca="false">IF($AC16="","",$AC16-$AD16)</f>
        <v>0</v>
      </c>
      <c r="AF16" s="35" t="str">
        <f aca="false">IF($AB16="","",INDEX(Lib_Multi,$AB16))</f>
        <v>N</v>
      </c>
      <c r="AG16" s="42" t="str">
        <f aca="false">IF($AB16="","",INDEX(Lib_Cat,$AB16))</f>
        <v>Bartack</v>
      </c>
      <c r="AH16" s="39" t="n">
        <f aca="false">IF(N($F16)&lt;=0,0,$F16/100*IF(OR($AB16="",$AC16="",N($AC16)&lt;1,N($AC16)&gt;24),0,IF($AE16=0,INDEX(Engine_Grid,0+$AB16,$AD16),IF(OR($AD16&gt;=24,INDEX(Engine_Grid,0+$AB16,$AD16)=0,INDEX(Engine_Grid,0+$AB16,$AD16+1)=0),0,INDEX(Engine_Grid,0+$AB16,$AD16)*(1-$AE16)+INDEX(Engine_Grid,0+$AB16,$AD16+1)*$AE16)))*IF(N($D16)&lt;1,1,$D16))</f>
        <v>0.91</v>
      </c>
      <c r="AI16" s="39" t="n">
        <f aca="false">IF(N($F16)&lt;=0,0,$F16/100*IF(OR($AB16="",$AC16="",N($AC16)&lt;1,N($AC16)&gt;24),0,IF($AE16=0,INDEX(Engine_Grid,75+$AB16,$AD16),IF(OR($AD16&gt;=24,INDEX(Engine_Grid,75+$AB16,$AD16)=0,INDEX(Engine_Grid,75+$AB16,$AD16+1)=0),0,INDEX(Engine_Grid,75+$AB16,$AD16)*(1-$AE16)+INDEX(Engine_Grid,75+$AB16,$AD16+1)*$AE16)))*IF(N($D16)&lt;1,1,$D16))</f>
        <v>0.98</v>
      </c>
      <c r="AJ16" s="39" t="n">
        <f aca="false">IF(N($F16)&lt;=0,0,$F16/100*IF(OR($AB16="",$AC16="",N($AC16)&lt;1,N($AC16)&gt;24),0,IF($AE16=0,INDEX(Engine_Grid,150+$AB16,$AD16),IF(OR($AD16&gt;=24,INDEX(Engine_Grid,150+$AB16,$AD16)=0,INDEX(Engine_Grid,150+$AB16,$AD16+1)=0),0,INDEX(Engine_Grid,150+$AB16,$AD16)*(1-$AE16)+INDEX(Engine_Grid,150+$AB16,$AD16+1)*$AE16)))*IF(N($D16)&lt;1,1,$D16))</f>
        <v>1.4</v>
      </c>
      <c r="AK16" s="39" t="n">
        <f aca="false">IF(N($F16)&lt;=0,0,$F16/100*IF(OR($AB16="",$AC16="",N($AC16)&lt;1,N($AC16)&gt;24),0,IF($AE16=0,INDEX(Engine_Grid,225+$AB16,$AD16),IF(OR($AD16&gt;=24,INDEX(Engine_Grid,225+$AB16,$AD16)=0,INDEX(Engine_Grid,225+$AB16,$AD16+1)=0),0,INDEX(Engine_Grid,225+$AB16,$AD16)*(1-$AE16)+INDEX(Engine_Grid,225+$AB16,$AD16+1)*$AE16)))*IF(N($D16)&lt;1,1,$D16))</f>
        <v>0.98</v>
      </c>
    </row>
    <row r="17" customFormat="false" ht="15" hidden="false" customHeight="false" outlineLevel="0" collapsed="false">
      <c r="A17" s="31" t="n">
        <v>8</v>
      </c>
      <c r="B17" s="11" t="s">
        <v>167</v>
      </c>
      <c r="C17" s="11" t="s">
        <v>168</v>
      </c>
      <c r="D17" s="32"/>
      <c r="E17" s="33"/>
      <c r="F17" s="34" t="n">
        <v>1</v>
      </c>
      <c r="G17" s="35" t="str">
        <f aca="false">IF($AB17="","",IF(INDEX(Lib_Basis,$AB17)="Piece","pcs","cm"))</f>
        <v>pcs</v>
      </c>
      <c r="H17" s="36" t="n">
        <f aca="false">IF(OR($AB17="",$AC17="",N($AC17)&lt;1,N($AC17)&gt;24),0,IF($AE17=0,INDEX(Engine_Grid,(WeightIdx-1)*75+$AB17,$AD17),IF(OR($AD17&gt;=24,INDEX(Engine_Grid,(WeightIdx-1)*75+$AB17,$AD17)=0,INDEX(Engine_Grid,(WeightIdx-1)*75+$AB17,$AD17+1)=0),0,INDEX(Engine_Grid,(WeightIdx-1)*75+$AB17,$AD17)*(1-$AE17)+INDEX(Engine_Grid,(WeightIdx-1)*75+$AB17,$AD17+1)*$AE17)))</f>
        <v>30</v>
      </c>
      <c r="I17" s="37" t="n">
        <f aca="false">IF(OR($H17=0,N($F17)&lt;=0),0,$F17/100*$H17*IF(N($D17)&lt;1,1,$D17))</f>
        <v>0.3</v>
      </c>
      <c r="J17" s="38" t="n">
        <f aca="false">IF($AB17="","",INDEX(Lib_Needle,$AB17))</f>
        <v>0.77</v>
      </c>
      <c r="K17" s="38" t="n">
        <f aca="false">IF($AB17="","",INDEX(Lib_Bobbin,$AB17))</f>
        <v>0.23</v>
      </c>
      <c r="L17" s="38" t="n">
        <f aca="false">IF($AB17="","",INDEX(Lib_Looper,$AB17))</f>
        <v>0</v>
      </c>
      <c r="M17" s="38" t="n">
        <f aca="false">IF($AB17="","",INDEX(Lib_Cover,$AB17))</f>
        <v>0</v>
      </c>
      <c r="N17" s="11" t="s">
        <v>100</v>
      </c>
      <c r="O17" s="39" t="n">
        <f aca="false">IF($I17=0,0,IF($AF17="Y",$I17*$J17/IF(N($D17)&lt;1,1,$D17),$I17*$J17))</f>
        <v>0.231</v>
      </c>
      <c r="P17" s="11"/>
      <c r="Q17" s="39" t="n">
        <f aca="false">IF(AND($I17&gt;0,$AF17="Y",IF(N($D17)&lt;1,1,$D17)&gt;=2),$I17*$J17/IF(N($D17)&lt;1,1,$D17),0)</f>
        <v>0</v>
      </c>
      <c r="R17" s="11"/>
      <c r="S17" s="39" t="n">
        <f aca="false">IF(AND($I17&gt;0,$AF17="Y",IF(N($D17)&lt;1,1,$D17)&gt;=3),$I17*$J17/IF(N($D17)&lt;1,1,$D17),0)</f>
        <v>0</v>
      </c>
      <c r="T17" s="11" t="s">
        <v>100</v>
      </c>
      <c r="U17" s="39" t="n">
        <f aca="false">IF($I17=0,0,$I17*$K17)</f>
        <v>0.069</v>
      </c>
      <c r="V17" s="11"/>
      <c r="W17" s="39" t="n">
        <f aca="false">IF($I17=0,0,$I17*$L17)</f>
        <v>0</v>
      </c>
      <c r="X17" s="11"/>
      <c r="Y17" s="39" t="n">
        <f aca="false">IF($I17=0,0,$I17*$M17)</f>
        <v>0</v>
      </c>
      <c r="Z17" s="39" t="n">
        <f aca="false">IF($N17="",$O17,0)+IF($P17="",$Q17,0)+IF($R17="",$S17,0)+IF($T17="",$U17,0)+IF($V17="",$W17,0)+IF($X17="",$Y17,0)+IF(AND($AF17="Y",IF(N($D17)&lt;1,1,$D17)&gt;3),$I17*$J17*(IF(N($D17)&lt;1,1,$D17)-3)/IF(N($D17)&lt;1,1,$D17),0)</f>
        <v>0</v>
      </c>
      <c r="AA17" s="40" t="str">
        <f aca="false">IF(AND($C17="",N($F17)=0),"",IF($C17="","⚠ Select a stitch type",IF($AB17="","⚠ Stitch not in library",IF(N($F17)&lt;=0,"⚠ Enter "&amp;IF($G17="pcs","quantity","seam length (cm)"),IF(AND($G17="cm",N($E17)&lt;=0),"⚠ Enter SPI",IF($H17=0,"⚠ No factor at SPI "&amp;$E17&amp;" – valid "&amp;INDEX(Lib_MinSPI,$AB17)&amp;"–"&amp;INDEX(Lib_MaxSPI,$AB17),IF(AND($AF17="Y",IF(N($D17)&lt;1,1,$D17)&gt;3),"⚠ More than 3 rows – thread for extra rows not allocated",IF($Z17&gt;0.00001,"⚠ Assign threads ("&amp;TEXT($Z17,"0.00")&amp;" m unassigned)","✔ OK"))))))))</f>
        <v>✔ OK</v>
      </c>
      <c r="AB17" s="16" t="n">
        <f aca="false">IF($C17="","",IFERROR(MATCH($C17,Lib_Names,0),""))</f>
        <v>57</v>
      </c>
      <c r="AC17" s="41" t="n">
        <f aca="false">IF($AB17="","",IF(INDEX(Lib_Basis,$AB17)="Piece",1,N($E17)))</f>
        <v>1</v>
      </c>
      <c r="AD17" s="16" t="n">
        <f aca="false">IF($AC17="","",INT($AC17))</f>
        <v>1</v>
      </c>
      <c r="AE17" s="17" t="n">
        <f aca="false">IF($AC17="","",$AC17-$AD17)</f>
        <v>0</v>
      </c>
      <c r="AF17" s="35" t="str">
        <f aca="false">IF($AB17="","",INDEX(Lib_Multi,$AB17))</f>
        <v>N</v>
      </c>
      <c r="AG17" s="42" t="str">
        <f aca="false">IF($AB17="","",INDEX(Lib_Cat,$AB17))</f>
        <v>Buttonhole</v>
      </c>
      <c r="AH17" s="39" t="n">
        <f aca="false">IF(N($F17)&lt;=0,0,$F17/100*IF(OR($AB17="",$AC17="",N($AC17)&lt;1,N($AC17)&gt;24),0,IF($AE17=0,INDEX(Engine_Grid,0+$AB17,$AD17),IF(OR($AD17&gt;=24,INDEX(Engine_Grid,0+$AB17,$AD17)=0,INDEX(Engine_Grid,0+$AB17,$AD17+1)=0),0,INDEX(Engine_Grid,0+$AB17,$AD17)*(1-$AE17)+INDEX(Engine_Grid,0+$AB17,$AD17+1)*$AE17)))*IF(N($D17)&lt;1,1,$D17))</f>
        <v>0.3</v>
      </c>
      <c r="AI17" s="39" t="n">
        <f aca="false">IF(N($F17)&lt;=0,0,$F17/100*IF(OR($AB17="",$AC17="",N($AC17)&lt;1,N($AC17)&gt;24),0,IF($AE17=0,INDEX(Engine_Grid,75+$AB17,$AD17),IF(OR($AD17&gt;=24,INDEX(Engine_Grid,75+$AB17,$AD17)=0,INDEX(Engine_Grid,75+$AB17,$AD17+1)=0),0,INDEX(Engine_Grid,75+$AB17,$AD17)*(1-$AE17)+INDEX(Engine_Grid,75+$AB17,$AD17+1)*$AE17)))*IF(N($D17)&lt;1,1,$D17))</f>
        <v>0.3</v>
      </c>
      <c r="AJ17" s="39" t="n">
        <f aca="false">IF(N($F17)&lt;=0,0,$F17/100*IF(OR($AB17="",$AC17="",N($AC17)&lt;1,N($AC17)&gt;24),0,IF($AE17=0,INDEX(Engine_Grid,150+$AB17,$AD17),IF(OR($AD17&gt;=24,INDEX(Engine_Grid,150+$AB17,$AD17)=0,INDEX(Engine_Grid,150+$AB17,$AD17+1)=0),0,INDEX(Engine_Grid,150+$AB17,$AD17)*(1-$AE17)+INDEX(Engine_Grid,150+$AB17,$AD17+1)*$AE17)))*IF(N($D17)&lt;1,1,$D17))</f>
        <v>0.39</v>
      </c>
      <c r="AK17" s="39" t="n">
        <f aca="false">IF(N($F17)&lt;=0,0,$F17/100*IF(OR($AB17="",$AC17="",N($AC17)&lt;1,N($AC17)&gt;24),0,IF($AE17=0,INDEX(Engine_Grid,225+$AB17,$AD17),IF(OR($AD17&gt;=24,INDEX(Engine_Grid,225+$AB17,$AD17)=0,INDEX(Engine_Grid,225+$AB17,$AD17+1)=0),0,INDEX(Engine_Grid,225+$AB17,$AD17)*(1-$AE17)+INDEX(Engine_Grid,225+$AB17,$AD17+1)*$AE17)))*IF(N($D17)&lt;1,1,$D17))</f>
        <v>0.3</v>
      </c>
    </row>
    <row r="18" customFormat="false" ht="15" hidden="false" customHeight="false" outlineLevel="0" collapsed="false">
      <c r="A18" s="31" t="n">
        <v>9</v>
      </c>
      <c r="B18" s="11" t="s">
        <v>169</v>
      </c>
      <c r="C18" s="11" t="s">
        <v>170</v>
      </c>
      <c r="D18" s="32"/>
      <c r="E18" s="33"/>
      <c r="F18" s="34" t="n">
        <v>1</v>
      </c>
      <c r="G18" s="35" t="str">
        <f aca="false">IF($AB18="","",IF(INDEX(Lib_Basis,$AB18)="Piece","pcs","cm"))</f>
        <v>pcs</v>
      </c>
      <c r="H18" s="36" t="n">
        <f aca="false">IF(OR($AB18="",$AC18="",N($AC18)&lt;1,N($AC18)&gt;24),0,IF($AE18=0,INDEX(Engine_Grid,(WeightIdx-1)*75+$AB18,$AD18),IF(OR($AD18&gt;=24,INDEX(Engine_Grid,(WeightIdx-1)*75+$AB18,$AD18)=0,INDEX(Engine_Grid,(WeightIdx-1)*75+$AB18,$AD18+1)=0),0,INDEX(Engine_Grid,(WeightIdx-1)*75+$AB18,$AD18)*(1-$AE18)+INDEX(Engine_Grid,(WeightIdx-1)*75+$AB18,$AD18+1)*$AE18)))</f>
        <v>14</v>
      </c>
      <c r="I18" s="37" t="n">
        <f aca="false">IF(OR($H18=0,N($F18)&lt;=0),0,$F18/100*$H18*IF(N($D18)&lt;1,1,$D18))</f>
        <v>0.14</v>
      </c>
      <c r="J18" s="38" t="n">
        <f aca="false">IF($AB18="","",INDEX(Lib_Needle,$AB18))</f>
        <v>0.7</v>
      </c>
      <c r="K18" s="38" t="n">
        <f aca="false">IF($AB18="","",INDEX(Lib_Bobbin,$AB18))</f>
        <v>0.3</v>
      </c>
      <c r="L18" s="38" t="n">
        <f aca="false">IF($AB18="","",INDEX(Lib_Looper,$AB18))</f>
        <v>0</v>
      </c>
      <c r="M18" s="38" t="n">
        <f aca="false">IF($AB18="","",INDEX(Lib_Cover,$AB18))</f>
        <v>0</v>
      </c>
      <c r="N18" s="11" t="s">
        <v>100</v>
      </c>
      <c r="O18" s="39" t="n">
        <f aca="false">IF($I18=0,0,IF($AF18="Y",$I18*$J18/IF(N($D18)&lt;1,1,$D18),$I18*$J18))</f>
        <v>0.098</v>
      </c>
      <c r="P18" s="11"/>
      <c r="Q18" s="39" t="n">
        <f aca="false">IF(AND($I18&gt;0,$AF18="Y",IF(N($D18)&lt;1,1,$D18)&gt;=2),$I18*$J18/IF(N($D18)&lt;1,1,$D18),0)</f>
        <v>0</v>
      </c>
      <c r="R18" s="11"/>
      <c r="S18" s="39" t="n">
        <f aca="false">IF(AND($I18&gt;0,$AF18="Y",IF(N($D18)&lt;1,1,$D18)&gt;=3),$I18*$J18/IF(N($D18)&lt;1,1,$D18),0)</f>
        <v>0</v>
      </c>
      <c r="T18" s="11" t="s">
        <v>100</v>
      </c>
      <c r="U18" s="39" t="n">
        <f aca="false">IF($I18=0,0,$I18*$K18)</f>
        <v>0.042</v>
      </c>
      <c r="V18" s="11"/>
      <c r="W18" s="39" t="n">
        <f aca="false">IF($I18=0,0,$I18*$L18)</f>
        <v>0</v>
      </c>
      <c r="X18" s="11"/>
      <c r="Y18" s="39" t="n">
        <f aca="false">IF($I18=0,0,$I18*$M18)</f>
        <v>0</v>
      </c>
      <c r="Z18" s="39" t="n">
        <f aca="false">IF($N18="",$O18,0)+IF($P18="",$Q18,0)+IF($R18="",$S18,0)+IF($T18="",$U18,0)+IF($V18="",$W18,0)+IF($X18="",$Y18,0)+IF(AND($AF18="Y",IF(N($D18)&lt;1,1,$D18)&gt;3),$I18*$J18*(IF(N($D18)&lt;1,1,$D18)-3)/IF(N($D18)&lt;1,1,$D18),0)</f>
        <v>0</v>
      </c>
      <c r="AA18" s="40" t="str">
        <f aca="false">IF(AND($C18="",N($F18)=0),"",IF($C18="","⚠ Select a stitch type",IF($AB18="","⚠ Stitch not in library",IF(N($F18)&lt;=0,"⚠ Enter "&amp;IF($G18="pcs","quantity","seam length (cm)"),IF(AND($G18="cm",N($E18)&lt;=0),"⚠ Enter SPI",IF($H18=0,"⚠ No factor at SPI "&amp;$E18&amp;" – valid "&amp;INDEX(Lib_MinSPI,$AB18)&amp;"–"&amp;INDEX(Lib_MaxSPI,$AB18),IF(AND($AF18="Y",IF(N($D18)&lt;1,1,$D18)&gt;3),"⚠ More than 3 rows – thread for extra rows not allocated",IF($Z18&gt;0.00001,"⚠ Assign threads ("&amp;TEXT($Z18,"0.00")&amp;" m unassigned)","✔ OK"))))))))</f>
        <v>✔ OK</v>
      </c>
      <c r="AB18" s="16" t="n">
        <f aca="false">IF($C18="","",IFERROR(MATCH($C18,Lib_Names,0),""))</f>
        <v>54</v>
      </c>
      <c r="AC18" s="41" t="n">
        <f aca="false">IF($AB18="","",IF(INDEX(Lib_Basis,$AB18)="Piece",1,N($E18)))</f>
        <v>1</v>
      </c>
      <c r="AD18" s="16" t="n">
        <f aca="false">IF($AC18="","",INT($AC18))</f>
        <v>1</v>
      </c>
      <c r="AE18" s="17" t="n">
        <f aca="false">IF($AC18="","",$AC18-$AD18)</f>
        <v>0</v>
      </c>
      <c r="AF18" s="35" t="str">
        <f aca="false">IF($AB18="","",INDEX(Lib_Multi,$AB18))</f>
        <v>N</v>
      </c>
      <c r="AG18" s="42" t="str">
        <f aca="false">IF($AB18="","",INDEX(Lib_Cat,$AB18))</f>
        <v>Button sew</v>
      </c>
      <c r="AH18" s="39" t="n">
        <f aca="false">IF(N($F18)&lt;=0,0,$F18/100*IF(OR($AB18="",$AC18="",N($AC18)&lt;1,N($AC18)&gt;24),0,IF($AE18=0,INDEX(Engine_Grid,0+$AB18,$AD18),IF(OR($AD18&gt;=24,INDEX(Engine_Grid,0+$AB18,$AD18)=0,INDEX(Engine_Grid,0+$AB18,$AD18+1)=0),0,INDEX(Engine_Grid,0+$AB18,$AD18)*(1-$AE18)+INDEX(Engine_Grid,0+$AB18,$AD18+1)*$AE18)))*IF(N($D18)&lt;1,1,$D18))</f>
        <v>0.08</v>
      </c>
      <c r="AI18" s="39" t="n">
        <f aca="false">IF(N($F18)&lt;=0,0,$F18/100*IF(OR($AB18="",$AC18="",N($AC18)&lt;1,N($AC18)&gt;24),0,IF($AE18=0,INDEX(Engine_Grid,75+$AB18,$AD18),IF(OR($AD18&gt;=24,INDEX(Engine_Grid,75+$AB18,$AD18)=0,INDEX(Engine_Grid,75+$AB18,$AD18+1)=0),0,INDEX(Engine_Grid,75+$AB18,$AD18)*(1-$AE18)+INDEX(Engine_Grid,75+$AB18,$AD18+1)*$AE18)))*IF(N($D18)&lt;1,1,$D18))</f>
        <v>0.14</v>
      </c>
      <c r="AJ18" s="39" t="n">
        <f aca="false">IF(N($F18)&lt;=0,0,$F18/100*IF(OR($AB18="",$AC18="",N($AC18)&lt;1,N($AC18)&gt;24),0,IF($AE18=0,INDEX(Engine_Grid,150+$AB18,$AD18),IF(OR($AD18&gt;=24,INDEX(Engine_Grid,150+$AB18,$AD18)=0,INDEX(Engine_Grid,150+$AB18,$AD18+1)=0),0,INDEX(Engine_Grid,150+$AB18,$AD18)*(1-$AE18)+INDEX(Engine_Grid,150+$AB18,$AD18+1)*$AE18)))*IF(N($D18)&lt;1,1,$D18))</f>
        <v>0.18</v>
      </c>
      <c r="AK18" s="39" t="n">
        <f aca="false">IF(N($F18)&lt;=0,0,$F18/100*IF(OR($AB18="",$AC18="",N($AC18)&lt;1,N($AC18)&gt;24),0,IF($AE18=0,INDEX(Engine_Grid,225+$AB18,$AD18),IF(OR($AD18&gt;=24,INDEX(Engine_Grid,225+$AB18,$AD18)=0,INDEX(Engine_Grid,225+$AB18,$AD18+1)=0),0,INDEX(Engine_Grid,225+$AB18,$AD18)*(1-$AE18)+INDEX(Engine_Grid,225+$AB18,$AD18+1)*$AE18)))*IF(N($D18)&lt;1,1,$D18))</f>
        <v>0.14</v>
      </c>
    </row>
    <row r="19" customFormat="false" ht="15" hidden="false" customHeight="false" outlineLevel="0" collapsed="false">
      <c r="A19" s="31" t="n">
        <v>10</v>
      </c>
      <c r="B19" s="11"/>
      <c r="C19" s="11"/>
      <c r="D19" s="32"/>
      <c r="E19" s="33"/>
      <c r="F19" s="34"/>
      <c r="G19" s="35" t="str">
        <f aca="false">IF($AB19="","",IF(INDEX(Lib_Basis,$AB19)="Piece","pcs","cm"))</f>
        <v/>
      </c>
      <c r="H19" s="36" t="n">
        <f aca="false">IF(OR($AB19="",$AC19="",N($AC19)&lt;1,N($AC19)&gt;24),0,IF($AE19=0,INDEX(Engine_Grid,(WeightIdx-1)*75+$AB19,$AD19),IF(OR($AD19&gt;=24,INDEX(Engine_Grid,(WeightIdx-1)*75+$AB19,$AD19)=0,INDEX(Engine_Grid,(WeightIdx-1)*75+$AB19,$AD19+1)=0),0,INDEX(Engine_Grid,(WeightIdx-1)*75+$AB19,$AD19)*(1-$AE19)+INDEX(Engine_Grid,(WeightIdx-1)*75+$AB19,$AD19+1)*$AE19)))</f>
        <v>0</v>
      </c>
      <c r="I19" s="37" t="n">
        <f aca="false">IF(OR($H19=0,N($F19)&lt;=0),0,$F19/100*$H19*IF(N($D19)&lt;1,1,$D19))</f>
        <v>0</v>
      </c>
      <c r="J19" s="38" t="str">
        <f aca="false">IF($AB19="","",INDEX(Lib_Needle,$AB19))</f>
        <v/>
      </c>
      <c r="K19" s="38" t="str">
        <f aca="false">IF($AB19="","",INDEX(Lib_Bobbin,$AB19))</f>
        <v/>
      </c>
      <c r="L19" s="38" t="str">
        <f aca="false">IF($AB19="","",INDEX(Lib_Looper,$AB19))</f>
        <v/>
      </c>
      <c r="M19" s="38" t="str">
        <f aca="false">IF($AB19="","",INDEX(Lib_Cover,$AB19))</f>
        <v/>
      </c>
      <c r="N19" s="11"/>
      <c r="O19" s="39" t="n">
        <f aca="false">IF($I19=0,0,IF($AF19="Y",$I19*$J19/IF(N($D19)&lt;1,1,$D19),$I19*$J19))</f>
        <v>0</v>
      </c>
      <c r="P19" s="11"/>
      <c r="Q19" s="39" t="n">
        <f aca="false">IF(AND($I19&gt;0,$AF19="Y",IF(N($D19)&lt;1,1,$D19)&gt;=2),$I19*$J19/IF(N($D19)&lt;1,1,$D19),0)</f>
        <v>0</v>
      </c>
      <c r="R19" s="11"/>
      <c r="S19" s="39" t="n">
        <f aca="false">IF(AND($I19&gt;0,$AF19="Y",IF(N($D19)&lt;1,1,$D19)&gt;=3),$I19*$J19/IF(N($D19)&lt;1,1,$D19),0)</f>
        <v>0</v>
      </c>
      <c r="T19" s="11"/>
      <c r="U19" s="39" t="n">
        <f aca="false">IF($I19=0,0,$I19*$K19)</f>
        <v>0</v>
      </c>
      <c r="V19" s="11"/>
      <c r="W19" s="39" t="n">
        <f aca="false">IF($I19=0,0,$I19*$L19)</f>
        <v>0</v>
      </c>
      <c r="X19" s="11"/>
      <c r="Y19" s="39" t="n">
        <f aca="false">IF($I19=0,0,$I19*$M19)</f>
        <v>0</v>
      </c>
      <c r="Z19" s="39" t="n">
        <f aca="false">IF($N19="",$O19,0)+IF($P19="",$Q19,0)+IF($R19="",$S19,0)+IF($T19="",$U19,0)+IF($V19="",$W19,0)+IF($X19="",$Y19,0)+IF(AND($AF19="Y",IF(N($D19)&lt;1,1,$D19)&gt;3),$I19*$J19*(IF(N($D19)&lt;1,1,$D19)-3)/IF(N($D19)&lt;1,1,$D19),0)</f>
        <v>0</v>
      </c>
      <c r="AA19" s="40" t="str">
        <f aca="false">IF(AND($C19="",N($F19)=0),"",IF($C19="","⚠ Select a stitch type",IF($AB19="","⚠ Stitch not in library",IF(N($F19)&lt;=0,"⚠ Enter "&amp;IF($G19="pcs","quantity","seam length (cm)"),IF(AND($G19="cm",N($E19)&lt;=0),"⚠ Enter SPI",IF($H19=0,"⚠ No factor at SPI "&amp;$E19&amp;" – valid "&amp;INDEX(Lib_MinSPI,$AB19)&amp;"–"&amp;INDEX(Lib_MaxSPI,$AB19),IF(AND($AF19="Y",IF(N($D19)&lt;1,1,$D19)&gt;3),"⚠ More than 3 rows – thread for extra rows not allocated",IF($Z19&gt;0.00001,"⚠ Assign threads ("&amp;TEXT($Z19,"0.00")&amp;" m unassigned)","✔ OK"))))))))</f>
        <v/>
      </c>
      <c r="AB19" s="16" t="str">
        <f aca="false">IF($C19="","",IFERROR(MATCH($C19,Lib_Names,0),""))</f>
        <v/>
      </c>
      <c r="AC19" s="41" t="str">
        <f aca="false">IF($AB19="","",IF(INDEX(Lib_Basis,$AB19)="Piece",1,N($E19)))</f>
        <v/>
      </c>
      <c r="AD19" s="16" t="str">
        <f aca="false">IF($AC19="","",INT($AC19))</f>
        <v/>
      </c>
      <c r="AE19" s="17" t="str">
        <f aca="false">IF($AC19="","",$AC19-$AD19)</f>
        <v/>
      </c>
      <c r="AF19" s="35" t="str">
        <f aca="false">IF($AB19="","",INDEX(Lib_Multi,$AB19))</f>
        <v/>
      </c>
      <c r="AG19" s="42" t="str">
        <f aca="false">IF($AB19="","",INDEX(Lib_Cat,$AB19))</f>
        <v/>
      </c>
      <c r="AH19" s="39" t="n">
        <f aca="false">IF(N($F19)&lt;=0,0,$F19/100*IF(OR($AB19="",$AC19="",N($AC19)&lt;1,N($AC19)&gt;24),0,IF($AE19=0,INDEX(Engine_Grid,0+$AB19,$AD19),IF(OR($AD19&gt;=24,INDEX(Engine_Grid,0+$AB19,$AD19)=0,INDEX(Engine_Grid,0+$AB19,$AD19+1)=0),0,INDEX(Engine_Grid,0+$AB19,$AD19)*(1-$AE19)+INDEX(Engine_Grid,0+$AB19,$AD19+1)*$AE19)))*IF(N($D19)&lt;1,1,$D19))</f>
        <v>0</v>
      </c>
      <c r="AI19" s="39" t="n">
        <f aca="false">IF(N($F19)&lt;=0,0,$F19/100*IF(OR($AB19="",$AC19="",N($AC19)&lt;1,N($AC19)&gt;24),0,IF($AE19=0,INDEX(Engine_Grid,75+$AB19,$AD19),IF(OR($AD19&gt;=24,INDEX(Engine_Grid,75+$AB19,$AD19)=0,INDEX(Engine_Grid,75+$AB19,$AD19+1)=0),0,INDEX(Engine_Grid,75+$AB19,$AD19)*(1-$AE19)+INDEX(Engine_Grid,75+$AB19,$AD19+1)*$AE19)))*IF(N($D19)&lt;1,1,$D19))</f>
        <v>0</v>
      </c>
      <c r="AJ19" s="39" t="n">
        <f aca="false">IF(N($F19)&lt;=0,0,$F19/100*IF(OR($AB19="",$AC19="",N($AC19)&lt;1,N($AC19)&gt;24),0,IF($AE19=0,INDEX(Engine_Grid,150+$AB19,$AD19),IF(OR($AD19&gt;=24,INDEX(Engine_Grid,150+$AB19,$AD19)=0,INDEX(Engine_Grid,150+$AB19,$AD19+1)=0),0,INDEX(Engine_Grid,150+$AB19,$AD19)*(1-$AE19)+INDEX(Engine_Grid,150+$AB19,$AD19+1)*$AE19)))*IF(N($D19)&lt;1,1,$D19))</f>
        <v>0</v>
      </c>
      <c r="AK19" s="39" t="n">
        <f aca="false">IF(N($F19)&lt;=0,0,$F19/100*IF(OR($AB19="",$AC19="",N($AC19)&lt;1,N($AC19)&gt;24),0,IF($AE19=0,INDEX(Engine_Grid,225+$AB19,$AD19),IF(OR($AD19&gt;=24,INDEX(Engine_Grid,225+$AB19,$AD19)=0,INDEX(Engine_Grid,225+$AB19,$AD19+1)=0),0,INDEX(Engine_Grid,225+$AB19,$AD19)*(1-$AE19)+INDEX(Engine_Grid,225+$AB19,$AD19+1)*$AE19)))*IF(N($D19)&lt;1,1,$D19))</f>
        <v>0</v>
      </c>
    </row>
    <row r="20" customFormat="false" ht="15" hidden="false" customHeight="false" outlineLevel="0" collapsed="false">
      <c r="A20" s="31" t="n">
        <v>11</v>
      </c>
      <c r="B20" s="11"/>
      <c r="C20" s="11"/>
      <c r="D20" s="32"/>
      <c r="E20" s="33"/>
      <c r="F20" s="34"/>
      <c r="G20" s="35" t="str">
        <f aca="false">IF($AB20="","",IF(INDEX(Lib_Basis,$AB20)="Piece","pcs","cm"))</f>
        <v/>
      </c>
      <c r="H20" s="36" t="n">
        <f aca="false">IF(OR($AB20="",$AC20="",N($AC20)&lt;1,N($AC20)&gt;24),0,IF($AE20=0,INDEX(Engine_Grid,(WeightIdx-1)*75+$AB20,$AD20),IF(OR($AD20&gt;=24,INDEX(Engine_Grid,(WeightIdx-1)*75+$AB20,$AD20)=0,INDEX(Engine_Grid,(WeightIdx-1)*75+$AB20,$AD20+1)=0),0,INDEX(Engine_Grid,(WeightIdx-1)*75+$AB20,$AD20)*(1-$AE20)+INDEX(Engine_Grid,(WeightIdx-1)*75+$AB20,$AD20+1)*$AE20)))</f>
        <v>0</v>
      </c>
      <c r="I20" s="37" t="n">
        <f aca="false">IF(OR($H20=0,N($F20)&lt;=0),0,$F20/100*$H20*IF(N($D20)&lt;1,1,$D20))</f>
        <v>0</v>
      </c>
      <c r="J20" s="38" t="str">
        <f aca="false">IF($AB20="","",INDEX(Lib_Needle,$AB20))</f>
        <v/>
      </c>
      <c r="K20" s="38" t="str">
        <f aca="false">IF($AB20="","",INDEX(Lib_Bobbin,$AB20))</f>
        <v/>
      </c>
      <c r="L20" s="38" t="str">
        <f aca="false">IF($AB20="","",INDEX(Lib_Looper,$AB20))</f>
        <v/>
      </c>
      <c r="M20" s="38" t="str">
        <f aca="false">IF($AB20="","",INDEX(Lib_Cover,$AB20))</f>
        <v/>
      </c>
      <c r="N20" s="11"/>
      <c r="O20" s="39" t="n">
        <f aca="false">IF($I20=0,0,IF($AF20="Y",$I20*$J20/IF(N($D20)&lt;1,1,$D20),$I20*$J20))</f>
        <v>0</v>
      </c>
      <c r="P20" s="11"/>
      <c r="Q20" s="39" t="n">
        <f aca="false">IF(AND($I20&gt;0,$AF20="Y",IF(N($D20)&lt;1,1,$D20)&gt;=2),$I20*$J20/IF(N($D20)&lt;1,1,$D20),0)</f>
        <v>0</v>
      </c>
      <c r="R20" s="11"/>
      <c r="S20" s="39" t="n">
        <f aca="false">IF(AND($I20&gt;0,$AF20="Y",IF(N($D20)&lt;1,1,$D20)&gt;=3),$I20*$J20/IF(N($D20)&lt;1,1,$D20),0)</f>
        <v>0</v>
      </c>
      <c r="T20" s="11"/>
      <c r="U20" s="39" t="n">
        <f aca="false">IF($I20=0,0,$I20*$K20)</f>
        <v>0</v>
      </c>
      <c r="V20" s="11"/>
      <c r="W20" s="39" t="n">
        <f aca="false">IF($I20=0,0,$I20*$L20)</f>
        <v>0</v>
      </c>
      <c r="X20" s="11"/>
      <c r="Y20" s="39" t="n">
        <f aca="false">IF($I20=0,0,$I20*$M20)</f>
        <v>0</v>
      </c>
      <c r="Z20" s="39" t="n">
        <f aca="false">IF($N20="",$O20,0)+IF($P20="",$Q20,0)+IF($R20="",$S20,0)+IF($T20="",$U20,0)+IF($V20="",$W20,0)+IF($X20="",$Y20,0)+IF(AND($AF20="Y",IF(N($D20)&lt;1,1,$D20)&gt;3),$I20*$J20*(IF(N($D20)&lt;1,1,$D20)-3)/IF(N($D20)&lt;1,1,$D20),0)</f>
        <v>0</v>
      </c>
      <c r="AA20" s="40" t="str">
        <f aca="false">IF(AND($C20="",N($F20)=0),"",IF($C20="","⚠ Select a stitch type",IF($AB20="","⚠ Stitch not in library",IF(N($F20)&lt;=0,"⚠ Enter "&amp;IF($G20="pcs","quantity","seam length (cm)"),IF(AND($G20="cm",N($E20)&lt;=0),"⚠ Enter SPI",IF($H20=0,"⚠ No factor at SPI "&amp;$E20&amp;" – valid "&amp;INDEX(Lib_MinSPI,$AB20)&amp;"–"&amp;INDEX(Lib_MaxSPI,$AB20),IF(AND($AF20="Y",IF(N($D20)&lt;1,1,$D20)&gt;3),"⚠ More than 3 rows – thread for extra rows not allocated",IF($Z20&gt;0.00001,"⚠ Assign threads ("&amp;TEXT($Z20,"0.00")&amp;" m unassigned)","✔ OK"))))))))</f>
        <v/>
      </c>
      <c r="AB20" s="16" t="str">
        <f aca="false">IF($C20="","",IFERROR(MATCH($C20,Lib_Names,0),""))</f>
        <v/>
      </c>
      <c r="AC20" s="41" t="str">
        <f aca="false">IF($AB20="","",IF(INDEX(Lib_Basis,$AB20)="Piece",1,N($E20)))</f>
        <v/>
      </c>
      <c r="AD20" s="16" t="str">
        <f aca="false">IF($AC20="","",INT($AC20))</f>
        <v/>
      </c>
      <c r="AE20" s="17" t="str">
        <f aca="false">IF($AC20="","",$AC20-$AD20)</f>
        <v/>
      </c>
      <c r="AF20" s="35" t="str">
        <f aca="false">IF($AB20="","",INDEX(Lib_Multi,$AB20))</f>
        <v/>
      </c>
      <c r="AG20" s="42" t="str">
        <f aca="false">IF($AB20="","",INDEX(Lib_Cat,$AB20))</f>
        <v/>
      </c>
      <c r="AH20" s="39" t="n">
        <f aca="false">IF(N($F20)&lt;=0,0,$F20/100*IF(OR($AB20="",$AC20="",N($AC20)&lt;1,N($AC20)&gt;24),0,IF($AE20=0,INDEX(Engine_Grid,0+$AB20,$AD20),IF(OR($AD20&gt;=24,INDEX(Engine_Grid,0+$AB20,$AD20)=0,INDEX(Engine_Grid,0+$AB20,$AD20+1)=0),0,INDEX(Engine_Grid,0+$AB20,$AD20)*(1-$AE20)+INDEX(Engine_Grid,0+$AB20,$AD20+1)*$AE20)))*IF(N($D20)&lt;1,1,$D20))</f>
        <v>0</v>
      </c>
      <c r="AI20" s="39" t="n">
        <f aca="false">IF(N($F20)&lt;=0,0,$F20/100*IF(OR($AB20="",$AC20="",N($AC20)&lt;1,N($AC20)&gt;24),0,IF($AE20=0,INDEX(Engine_Grid,75+$AB20,$AD20),IF(OR($AD20&gt;=24,INDEX(Engine_Grid,75+$AB20,$AD20)=0,INDEX(Engine_Grid,75+$AB20,$AD20+1)=0),0,INDEX(Engine_Grid,75+$AB20,$AD20)*(1-$AE20)+INDEX(Engine_Grid,75+$AB20,$AD20+1)*$AE20)))*IF(N($D20)&lt;1,1,$D20))</f>
        <v>0</v>
      </c>
      <c r="AJ20" s="39" t="n">
        <f aca="false">IF(N($F20)&lt;=0,0,$F20/100*IF(OR($AB20="",$AC20="",N($AC20)&lt;1,N($AC20)&gt;24),0,IF($AE20=0,INDEX(Engine_Grid,150+$AB20,$AD20),IF(OR($AD20&gt;=24,INDEX(Engine_Grid,150+$AB20,$AD20)=0,INDEX(Engine_Grid,150+$AB20,$AD20+1)=0),0,INDEX(Engine_Grid,150+$AB20,$AD20)*(1-$AE20)+INDEX(Engine_Grid,150+$AB20,$AD20+1)*$AE20)))*IF(N($D20)&lt;1,1,$D20))</f>
        <v>0</v>
      </c>
      <c r="AK20" s="39" t="n">
        <f aca="false">IF(N($F20)&lt;=0,0,$F20/100*IF(OR($AB20="",$AC20="",N($AC20)&lt;1,N($AC20)&gt;24),0,IF($AE20=0,INDEX(Engine_Grid,225+$AB20,$AD20),IF(OR($AD20&gt;=24,INDEX(Engine_Grid,225+$AB20,$AD20)=0,INDEX(Engine_Grid,225+$AB20,$AD20+1)=0),0,INDEX(Engine_Grid,225+$AB20,$AD20)*(1-$AE20)+INDEX(Engine_Grid,225+$AB20,$AD20+1)*$AE20)))*IF(N($D20)&lt;1,1,$D20))</f>
        <v>0</v>
      </c>
    </row>
    <row r="21" customFormat="false" ht="15" hidden="false" customHeight="false" outlineLevel="0" collapsed="false">
      <c r="A21" s="31" t="n">
        <v>12</v>
      </c>
      <c r="B21" s="11"/>
      <c r="C21" s="11"/>
      <c r="D21" s="32"/>
      <c r="E21" s="33"/>
      <c r="F21" s="34"/>
      <c r="G21" s="35" t="str">
        <f aca="false">IF($AB21="","",IF(INDEX(Lib_Basis,$AB21)="Piece","pcs","cm"))</f>
        <v/>
      </c>
      <c r="H21" s="36" t="n">
        <f aca="false">IF(OR($AB21="",$AC21="",N($AC21)&lt;1,N($AC21)&gt;24),0,IF($AE21=0,INDEX(Engine_Grid,(WeightIdx-1)*75+$AB21,$AD21),IF(OR($AD21&gt;=24,INDEX(Engine_Grid,(WeightIdx-1)*75+$AB21,$AD21)=0,INDEX(Engine_Grid,(WeightIdx-1)*75+$AB21,$AD21+1)=0),0,INDEX(Engine_Grid,(WeightIdx-1)*75+$AB21,$AD21)*(1-$AE21)+INDEX(Engine_Grid,(WeightIdx-1)*75+$AB21,$AD21+1)*$AE21)))</f>
        <v>0</v>
      </c>
      <c r="I21" s="37" t="n">
        <f aca="false">IF(OR($H21=0,N($F21)&lt;=0),0,$F21/100*$H21*IF(N($D21)&lt;1,1,$D21))</f>
        <v>0</v>
      </c>
      <c r="J21" s="38" t="str">
        <f aca="false">IF($AB21="","",INDEX(Lib_Needle,$AB21))</f>
        <v/>
      </c>
      <c r="K21" s="38" t="str">
        <f aca="false">IF($AB21="","",INDEX(Lib_Bobbin,$AB21))</f>
        <v/>
      </c>
      <c r="L21" s="38" t="str">
        <f aca="false">IF($AB21="","",INDEX(Lib_Looper,$AB21))</f>
        <v/>
      </c>
      <c r="M21" s="38" t="str">
        <f aca="false">IF($AB21="","",INDEX(Lib_Cover,$AB21))</f>
        <v/>
      </c>
      <c r="N21" s="11"/>
      <c r="O21" s="39" t="n">
        <f aca="false">IF($I21=0,0,IF($AF21="Y",$I21*$J21/IF(N($D21)&lt;1,1,$D21),$I21*$J21))</f>
        <v>0</v>
      </c>
      <c r="P21" s="11"/>
      <c r="Q21" s="39" t="n">
        <f aca="false">IF(AND($I21&gt;0,$AF21="Y",IF(N($D21)&lt;1,1,$D21)&gt;=2),$I21*$J21/IF(N($D21)&lt;1,1,$D21),0)</f>
        <v>0</v>
      </c>
      <c r="R21" s="11"/>
      <c r="S21" s="39" t="n">
        <f aca="false">IF(AND($I21&gt;0,$AF21="Y",IF(N($D21)&lt;1,1,$D21)&gt;=3),$I21*$J21/IF(N($D21)&lt;1,1,$D21),0)</f>
        <v>0</v>
      </c>
      <c r="T21" s="11"/>
      <c r="U21" s="39" t="n">
        <f aca="false">IF($I21=0,0,$I21*$K21)</f>
        <v>0</v>
      </c>
      <c r="V21" s="11"/>
      <c r="W21" s="39" t="n">
        <f aca="false">IF($I21=0,0,$I21*$L21)</f>
        <v>0</v>
      </c>
      <c r="X21" s="11"/>
      <c r="Y21" s="39" t="n">
        <f aca="false">IF($I21=0,0,$I21*$M21)</f>
        <v>0</v>
      </c>
      <c r="Z21" s="39" t="n">
        <f aca="false">IF($N21="",$O21,0)+IF($P21="",$Q21,0)+IF($R21="",$S21,0)+IF($T21="",$U21,0)+IF($V21="",$W21,0)+IF($X21="",$Y21,0)+IF(AND($AF21="Y",IF(N($D21)&lt;1,1,$D21)&gt;3),$I21*$J21*(IF(N($D21)&lt;1,1,$D21)-3)/IF(N($D21)&lt;1,1,$D21),0)</f>
        <v>0</v>
      </c>
      <c r="AA21" s="40" t="str">
        <f aca="false">IF(AND($C21="",N($F21)=0),"",IF($C21="","⚠ Select a stitch type",IF($AB21="","⚠ Stitch not in library",IF(N($F21)&lt;=0,"⚠ Enter "&amp;IF($G21="pcs","quantity","seam length (cm)"),IF(AND($G21="cm",N($E21)&lt;=0),"⚠ Enter SPI",IF($H21=0,"⚠ No factor at SPI "&amp;$E21&amp;" – valid "&amp;INDEX(Lib_MinSPI,$AB21)&amp;"–"&amp;INDEX(Lib_MaxSPI,$AB21),IF(AND($AF21="Y",IF(N($D21)&lt;1,1,$D21)&gt;3),"⚠ More than 3 rows – thread for extra rows not allocated",IF($Z21&gt;0.00001,"⚠ Assign threads ("&amp;TEXT($Z21,"0.00")&amp;" m unassigned)","✔ OK"))))))))</f>
        <v/>
      </c>
      <c r="AB21" s="16" t="str">
        <f aca="false">IF($C21="","",IFERROR(MATCH($C21,Lib_Names,0),""))</f>
        <v/>
      </c>
      <c r="AC21" s="41" t="str">
        <f aca="false">IF($AB21="","",IF(INDEX(Lib_Basis,$AB21)="Piece",1,N($E21)))</f>
        <v/>
      </c>
      <c r="AD21" s="16" t="str">
        <f aca="false">IF($AC21="","",INT($AC21))</f>
        <v/>
      </c>
      <c r="AE21" s="17" t="str">
        <f aca="false">IF($AC21="","",$AC21-$AD21)</f>
        <v/>
      </c>
      <c r="AF21" s="35" t="str">
        <f aca="false">IF($AB21="","",INDEX(Lib_Multi,$AB21))</f>
        <v/>
      </c>
      <c r="AG21" s="42" t="str">
        <f aca="false">IF($AB21="","",INDEX(Lib_Cat,$AB21))</f>
        <v/>
      </c>
      <c r="AH21" s="39" t="n">
        <f aca="false">IF(N($F21)&lt;=0,0,$F21/100*IF(OR($AB21="",$AC21="",N($AC21)&lt;1,N($AC21)&gt;24),0,IF($AE21=0,INDEX(Engine_Grid,0+$AB21,$AD21),IF(OR($AD21&gt;=24,INDEX(Engine_Grid,0+$AB21,$AD21)=0,INDEX(Engine_Grid,0+$AB21,$AD21+1)=0),0,INDEX(Engine_Grid,0+$AB21,$AD21)*(1-$AE21)+INDEX(Engine_Grid,0+$AB21,$AD21+1)*$AE21)))*IF(N($D21)&lt;1,1,$D21))</f>
        <v>0</v>
      </c>
      <c r="AI21" s="39" t="n">
        <f aca="false">IF(N($F21)&lt;=0,0,$F21/100*IF(OR($AB21="",$AC21="",N($AC21)&lt;1,N($AC21)&gt;24),0,IF($AE21=0,INDEX(Engine_Grid,75+$AB21,$AD21),IF(OR($AD21&gt;=24,INDEX(Engine_Grid,75+$AB21,$AD21)=0,INDEX(Engine_Grid,75+$AB21,$AD21+1)=0),0,INDEX(Engine_Grid,75+$AB21,$AD21)*(1-$AE21)+INDEX(Engine_Grid,75+$AB21,$AD21+1)*$AE21)))*IF(N($D21)&lt;1,1,$D21))</f>
        <v>0</v>
      </c>
      <c r="AJ21" s="39" t="n">
        <f aca="false">IF(N($F21)&lt;=0,0,$F21/100*IF(OR($AB21="",$AC21="",N($AC21)&lt;1,N($AC21)&gt;24),0,IF($AE21=0,INDEX(Engine_Grid,150+$AB21,$AD21),IF(OR($AD21&gt;=24,INDEX(Engine_Grid,150+$AB21,$AD21)=0,INDEX(Engine_Grid,150+$AB21,$AD21+1)=0),0,INDEX(Engine_Grid,150+$AB21,$AD21)*(1-$AE21)+INDEX(Engine_Grid,150+$AB21,$AD21+1)*$AE21)))*IF(N($D21)&lt;1,1,$D21))</f>
        <v>0</v>
      </c>
      <c r="AK21" s="39" t="n">
        <f aca="false">IF(N($F21)&lt;=0,0,$F21/100*IF(OR($AB21="",$AC21="",N($AC21)&lt;1,N($AC21)&gt;24),0,IF($AE21=0,INDEX(Engine_Grid,225+$AB21,$AD21),IF(OR($AD21&gt;=24,INDEX(Engine_Grid,225+$AB21,$AD21)=0,INDEX(Engine_Grid,225+$AB21,$AD21+1)=0),0,INDEX(Engine_Grid,225+$AB21,$AD21)*(1-$AE21)+INDEX(Engine_Grid,225+$AB21,$AD21+1)*$AE21)))*IF(N($D21)&lt;1,1,$D21))</f>
        <v>0</v>
      </c>
    </row>
    <row r="22" customFormat="false" ht="15" hidden="false" customHeight="false" outlineLevel="0" collapsed="false">
      <c r="A22" s="31" t="n">
        <v>13</v>
      </c>
      <c r="B22" s="11"/>
      <c r="C22" s="11"/>
      <c r="D22" s="32"/>
      <c r="E22" s="33"/>
      <c r="F22" s="34"/>
      <c r="G22" s="35" t="str">
        <f aca="false">IF($AB22="","",IF(INDEX(Lib_Basis,$AB22)="Piece","pcs","cm"))</f>
        <v/>
      </c>
      <c r="H22" s="36" t="n">
        <f aca="false">IF(OR($AB22="",$AC22="",N($AC22)&lt;1,N($AC22)&gt;24),0,IF($AE22=0,INDEX(Engine_Grid,(WeightIdx-1)*75+$AB22,$AD22),IF(OR($AD22&gt;=24,INDEX(Engine_Grid,(WeightIdx-1)*75+$AB22,$AD22)=0,INDEX(Engine_Grid,(WeightIdx-1)*75+$AB22,$AD22+1)=0),0,INDEX(Engine_Grid,(WeightIdx-1)*75+$AB22,$AD22)*(1-$AE22)+INDEX(Engine_Grid,(WeightIdx-1)*75+$AB22,$AD22+1)*$AE22)))</f>
        <v>0</v>
      </c>
      <c r="I22" s="37" t="n">
        <f aca="false">IF(OR($H22=0,N($F22)&lt;=0),0,$F22/100*$H22*IF(N($D22)&lt;1,1,$D22))</f>
        <v>0</v>
      </c>
      <c r="J22" s="38" t="str">
        <f aca="false">IF($AB22="","",INDEX(Lib_Needle,$AB22))</f>
        <v/>
      </c>
      <c r="K22" s="38" t="str">
        <f aca="false">IF($AB22="","",INDEX(Lib_Bobbin,$AB22))</f>
        <v/>
      </c>
      <c r="L22" s="38" t="str">
        <f aca="false">IF($AB22="","",INDEX(Lib_Looper,$AB22))</f>
        <v/>
      </c>
      <c r="M22" s="38" t="str">
        <f aca="false">IF($AB22="","",INDEX(Lib_Cover,$AB22))</f>
        <v/>
      </c>
      <c r="N22" s="11"/>
      <c r="O22" s="39" t="n">
        <f aca="false">IF($I22=0,0,IF($AF22="Y",$I22*$J22/IF(N($D22)&lt;1,1,$D22),$I22*$J22))</f>
        <v>0</v>
      </c>
      <c r="P22" s="11"/>
      <c r="Q22" s="39" t="n">
        <f aca="false">IF(AND($I22&gt;0,$AF22="Y",IF(N($D22)&lt;1,1,$D22)&gt;=2),$I22*$J22/IF(N($D22)&lt;1,1,$D22),0)</f>
        <v>0</v>
      </c>
      <c r="R22" s="11"/>
      <c r="S22" s="39" t="n">
        <f aca="false">IF(AND($I22&gt;0,$AF22="Y",IF(N($D22)&lt;1,1,$D22)&gt;=3),$I22*$J22/IF(N($D22)&lt;1,1,$D22),0)</f>
        <v>0</v>
      </c>
      <c r="T22" s="11"/>
      <c r="U22" s="39" t="n">
        <f aca="false">IF($I22=0,0,$I22*$K22)</f>
        <v>0</v>
      </c>
      <c r="V22" s="11"/>
      <c r="W22" s="39" t="n">
        <f aca="false">IF($I22=0,0,$I22*$L22)</f>
        <v>0</v>
      </c>
      <c r="X22" s="11"/>
      <c r="Y22" s="39" t="n">
        <f aca="false">IF($I22=0,0,$I22*$M22)</f>
        <v>0</v>
      </c>
      <c r="Z22" s="39" t="n">
        <f aca="false">IF($N22="",$O22,0)+IF($P22="",$Q22,0)+IF($R22="",$S22,0)+IF($T22="",$U22,0)+IF($V22="",$W22,0)+IF($X22="",$Y22,0)+IF(AND($AF22="Y",IF(N($D22)&lt;1,1,$D22)&gt;3),$I22*$J22*(IF(N($D22)&lt;1,1,$D22)-3)/IF(N($D22)&lt;1,1,$D22),0)</f>
        <v>0</v>
      </c>
      <c r="AA22" s="40" t="str">
        <f aca="false">IF(AND($C22="",N($F22)=0),"",IF($C22="","⚠ Select a stitch type",IF($AB22="","⚠ Stitch not in library",IF(N($F22)&lt;=0,"⚠ Enter "&amp;IF($G22="pcs","quantity","seam length (cm)"),IF(AND($G22="cm",N($E22)&lt;=0),"⚠ Enter SPI",IF($H22=0,"⚠ No factor at SPI "&amp;$E22&amp;" – valid "&amp;INDEX(Lib_MinSPI,$AB22)&amp;"–"&amp;INDEX(Lib_MaxSPI,$AB22),IF(AND($AF22="Y",IF(N($D22)&lt;1,1,$D22)&gt;3),"⚠ More than 3 rows – thread for extra rows not allocated",IF($Z22&gt;0.00001,"⚠ Assign threads ("&amp;TEXT($Z22,"0.00")&amp;" m unassigned)","✔ OK"))))))))</f>
        <v/>
      </c>
      <c r="AB22" s="16" t="str">
        <f aca="false">IF($C22="","",IFERROR(MATCH($C22,Lib_Names,0),""))</f>
        <v/>
      </c>
      <c r="AC22" s="41" t="str">
        <f aca="false">IF($AB22="","",IF(INDEX(Lib_Basis,$AB22)="Piece",1,N($E22)))</f>
        <v/>
      </c>
      <c r="AD22" s="16" t="str">
        <f aca="false">IF($AC22="","",INT($AC22))</f>
        <v/>
      </c>
      <c r="AE22" s="17" t="str">
        <f aca="false">IF($AC22="","",$AC22-$AD22)</f>
        <v/>
      </c>
      <c r="AF22" s="35" t="str">
        <f aca="false">IF($AB22="","",INDEX(Lib_Multi,$AB22))</f>
        <v/>
      </c>
      <c r="AG22" s="42" t="str">
        <f aca="false">IF($AB22="","",INDEX(Lib_Cat,$AB22))</f>
        <v/>
      </c>
      <c r="AH22" s="39" t="n">
        <f aca="false">IF(N($F22)&lt;=0,0,$F22/100*IF(OR($AB22="",$AC22="",N($AC22)&lt;1,N($AC22)&gt;24),0,IF($AE22=0,INDEX(Engine_Grid,0+$AB22,$AD22),IF(OR($AD22&gt;=24,INDEX(Engine_Grid,0+$AB22,$AD22)=0,INDEX(Engine_Grid,0+$AB22,$AD22+1)=0),0,INDEX(Engine_Grid,0+$AB22,$AD22)*(1-$AE22)+INDEX(Engine_Grid,0+$AB22,$AD22+1)*$AE22)))*IF(N($D22)&lt;1,1,$D22))</f>
        <v>0</v>
      </c>
      <c r="AI22" s="39" t="n">
        <f aca="false">IF(N($F22)&lt;=0,0,$F22/100*IF(OR($AB22="",$AC22="",N($AC22)&lt;1,N($AC22)&gt;24),0,IF($AE22=0,INDEX(Engine_Grid,75+$AB22,$AD22),IF(OR($AD22&gt;=24,INDEX(Engine_Grid,75+$AB22,$AD22)=0,INDEX(Engine_Grid,75+$AB22,$AD22+1)=0),0,INDEX(Engine_Grid,75+$AB22,$AD22)*(1-$AE22)+INDEX(Engine_Grid,75+$AB22,$AD22+1)*$AE22)))*IF(N($D22)&lt;1,1,$D22))</f>
        <v>0</v>
      </c>
      <c r="AJ22" s="39" t="n">
        <f aca="false">IF(N($F22)&lt;=0,0,$F22/100*IF(OR($AB22="",$AC22="",N($AC22)&lt;1,N($AC22)&gt;24),0,IF($AE22=0,INDEX(Engine_Grid,150+$AB22,$AD22),IF(OR($AD22&gt;=24,INDEX(Engine_Grid,150+$AB22,$AD22)=0,INDEX(Engine_Grid,150+$AB22,$AD22+1)=0),0,INDEX(Engine_Grid,150+$AB22,$AD22)*(1-$AE22)+INDEX(Engine_Grid,150+$AB22,$AD22+1)*$AE22)))*IF(N($D22)&lt;1,1,$D22))</f>
        <v>0</v>
      </c>
      <c r="AK22" s="39" t="n">
        <f aca="false">IF(N($F22)&lt;=0,0,$F22/100*IF(OR($AB22="",$AC22="",N($AC22)&lt;1,N($AC22)&gt;24),0,IF($AE22=0,INDEX(Engine_Grid,225+$AB22,$AD22),IF(OR($AD22&gt;=24,INDEX(Engine_Grid,225+$AB22,$AD22)=0,INDEX(Engine_Grid,225+$AB22,$AD22+1)=0),0,INDEX(Engine_Grid,225+$AB22,$AD22)*(1-$AE22)+INDEX(Engine_Grid,225+$AB22,$AD22+1)*$AE22)))*IF(N($D22)&lt;1,1,$D22))</f>
        <v>0</v>
      </c>
    </row>
    <row r="23" customFormat="false" ht="15" hidden="false" customHeight="false" outlineLevel="0" collapsed="false">
      <c r="A23" s="31" t="n">
        <v>14</v>
      </c>
      <c r="B23" s="11"/>
      <c r="C23" s="11"/>
      <c r="D23" s="32"/>
      <c r="E23" s="33"/>
      <c r="F23" s="34"/>
      <c r="G23" s="35" t="str">
        <f aca="false">IF($AB23="","",IF(INDEX(Lib_Basis,$AB23)="Piece","pcs","cm"))</f>
        <v/>
      </c>
      <c r="H23" s="36" t="n">
        <f aca="false">IF(OR($AB23="",$AC23="",N($AC23)&lt;1,N($AC23)&gt;24),0,IF($AE23=0,INDEX(Engine_Grid,(WeightIdx-1)*75+$AB23,$AD23),IF(OR($AD23&gt;=24,INDEX(Engine_Grid,(WeightIdx-1)*75+$AB23,$AD23)=0,INDEX(Engine_Grid,(WeightIdx-1)*75+$AB23,$AD23+1)=0),0,INDEX(Engine_Grid,(WeightIdx-1)*75+$AB23,$AD23)*(1-$AE23)+INDEX(Engine_Grid,(WeightIdx-1)*75+$AB23,$AD23+1)*$AE23)))</f>
        <v>0</v>
      </c>
      <c r="I23" s="37" t="n">
        <f aca="false">IF(OR($H23=0,N($F23)&lt;=0),0,$F23/100*$H23*IF(N($D23)&lt;1,1,$D23))</f>
        <v>0</v>
      </c>
      <c r="J23" s="38" t="str">
        <f aca="false">IF($AB23="","",INDEX(Lib_Needle,$AB23))</f>
        <v/>
      </c>
      <c r="K23" s="38" t="str">
        <f aca="false">IF($AB23="","",INDEX(Lib_Bobbin,$AB23))</f>
        <v/>
      </c>
      <c r="L23" s="38" t="str">
        <f aca="false">IF($AB23="","",INDEX(Lib_Looper,$AB23))</f>
        <v/>
      </c>
      <c r="M23" s="38" t="str">
        <f aca="false">IF($AB23="","",INDEX(Lib_Cover,$AB23))</f>
        <v/>
      </c>
      <c r="N23" s="11"/>
      <c r="O23" s="39" t="n">
        <f aca="false">IF($I23=0,0,IF($AF23="Y",$I23*$J23/IF(N($D23)&lt;1,1,$D23),$I23*$J23))</f>
        <v>0</v>
      </c>
      <c r="P23" s="11"/>
      <c r="Q23" s="39" t="n">
        <f aca="false">IF(AND($I23&gt;0,$AF23="Y",IF(N($D23)&lt;1,1,$D23)&gt;=2),$I23*$J23/IF(N($D23)&lt;1,1,$D23),0)</f>
        <v>0</v>
      </c>
      <c r="R23" s="11"/>
      <c r="S23" s="39" t="n">
        <f aca="false">IF(AND($I23&gt;0,$AF23="Y",IF(N($D23)&lt;1,1,$D23)&gt;=3),$I23*$J23/IF(N($D23)&lt;1,1,$D23),0)</f>
        <v>0</v>
      </c>
      <c r="T23" s="11"/>
      <c r="U23" s="39" t="n">
        <f aca="false">IF($I23=0,0,$I23*$K23)</f>
        <v>0</v>
      </c>
      <c r="V23" s="11"/>
      <c r="W23" s="39" t="n">
        <f aca="false">IF($I23=0,0,$I23*$L23)</f>
        <v>0</v>
      </c>
      <c r="X23" s="11"/>
      <c r="Y23" s="39" t="n">
        <f aca="false">IF($I23=0,0,$I23*$M23)</f>
        <v>0</v>
      </c>
      <c r="Z23" s="39" t="n">
        <f aca="false">IF($N23="",$O23,0)+IF($P23="",$Q23,0)+IF($R23="",$S23,0)+IF($T23="",$U23,0)+IF($V23="",$W23,0)+IF($X23="",$Y23,0)+IF(AND($AF23="Y",IF(N($D23)&lt;1,1,$D23)&gt;3),$I23*$J23*(IF(N($D23)&lt;1,1,$D23)-3)/IF(N($D23)&lt;1,1,$D23),0)</f>
        <v>0</v>
      </c>
      <c r="AA23" s="40" t="str">
        <f aca="false">IF(AND($C23="",N($F23)=0),"",IF($C23="","⚠ Select a stitch type",IF($AB23="","⚠ Stitch not in library",IF(N($F23)&lt;=0,"⚠ Enter "&amp;IF($G23="pcs","quantity","seam length (cm)"),IF(AND($G23="cm",N($E23)&lt;=0),"⚠ Enter SPI",IF($H23=0,"⚠ No factor at SPI "&amp;$E23&amp;" – valid "&amp;INDEX(Lib_MinSPI,$AB23)&amp;"–"&amp;INDEX(Lib_MaxSPI,$AB23),IF(AND($AF23="Y",IF(N($D23)&lt;1,1,$D23)&gt;3),"⚠ More than 3 rows – thread for extra rows not allocated",IF($Z23&gt;0.00001,"⚠ Assign threads ("&amp;TEXT($Z23,"0.00")&amp;" m unassigned)","✔ OK"))))))))</f>
        <v/>
      </c>
      <c r="AB23" s="16" t="str">
        <f aca="false">IF($C23="","",IFERROR(MATCH($C23,Lib_Names,0),""))</f>
        <v/>
      </c>
      <c r="AC23" s="41" t="str">
        <f aca="false">IF($AB23="","",IF(INDEX(Lib_Basis,$AB23)="Piece",1,N($E23)))</f>
        <v/>
      </c>
      <c r="AD23" s="16" t="str">
        <f aca="false">IF($AC23="","",INT($AC23))</f>
        <v/>
      </c>
      <c r="AE23" s="17" t="str">
        <f aca="false">IF($AC23="","",$AC23-$AD23)</f>
        <v/>
      </c>
      <c r="AF23" s="35" t="str">
        <f aca="false">IF($AB23="","",INDEX(Lib_Multi,$AB23))</f>
        <v/>
      </c>
      <c r="AG23" s="42" t="str">
        <f aca="false">IF($AB23="","",INDEX(Lib_Cat,$AB23))</f>
        <v/>
      </c>
      <c r="AH23" s="39" t="n">
        <f aca="false">IF(N($F23)&lt;=0,0,$F23/100*IF(OR($AB23="",$AC23="",N($AC23)&lt;1,N($AC23)&gt;24),0,IF($AE23=0,INDEX(Engine_Grid,0+$AB23,$AD23),IF(OR($AD23&gt;=24,INDEX(Engine_Grid,0+$AB23,$AD23)=0,INDEX(Engine_Grid,0+$AB23,$AD23+1)=0),0,INDEX(Engine_Grid,0+$AB23,$AD23)*(1-$AE23)+INDEX(Engine_Grid,0+$AB23,$AD23+1)*$AE23)))*IF(N($D23)&lt;1,1,$D23))</f>
        <v>0</v>
      </c>
      <c r="AI23" s="39" t="n">
        <f aca="false">IF(N($F23)&lt;=0,0,$F23/100*IF(OR($AB23="",$AC23="",N($AC23)&lt;1,N($AC23)&gt;24),0,IF($AE23=0,INDEX(Engine_Grid,75+$AB23,$AD23),IF(OR($AD23&gt;=24,INDEX(Engine_Grid,75+$AB23,$AD23)=0,INDEX(Engine_Grid,75+$AB23,$AD23+1)=0),0,INDEX(Engine_Grid,75+$AB23,$AD23)*(1-$AE23)+INDEX(Engine_Grid,75+$AB23,$AD23+1)*$AE23)))*IF(N($D23)&lt;1,1,$D23))</f>
        <v>0</v>
      </c>
      <c r="AJ23" s="39" t="n">
        <f aca="false">IF(N($F23)&lt;=0,0,$F23/100*IF(OR($AB23="",$AC23="",N($AC23)&lt;1,N($AC23)&gt;24),0,IF($AE23=0,INDEX(Engine_Grid,150+$AB23,$AD23),IF(OR($AD23&gt;=24,INDEX(Engine_Grid,150+$AB23,$AD23)=0,INDEX(Engine_Grid,150+$AB23,$AD23+1)=0),0,INDEX(Engine_Grid,150+$AB23,$AD23)*(1-$AE23)+INDEX(Engine_Grid,150+$AB23,$AD23+1)*$AE23)))*IF(N($D23)&lt;1,1,$D23))</f>
        <v>0</v>
      </c>
      <c r="AK23" s="39" t="n">
        <f aca="false">IF(N($F23)&lt;=0,0,$F23/100*IF(OR($AB23="",$AC23="",N($AC23)&lt;1,N($AC23)&gt;24),0,IF($AE23=0,INDEX(Engine_Grid,225+$AB23,$AD23),IF(OR($AD23&gt;=24,INDEX(Engine_Grid,225+$AB23,$AD23)=0,INDEX(Engine_Grid,225+$AB23,$AD23+1)=0),0,INDEX(Engine_Grid,225+$AB23,$AD23)*(1-$AE23)+INDEX(Engine_Grid,225+$AB23,$AD23+1)*$AE23)))*IF(N($D23)&lt;1,1,$D23))</f>
        <v>0</v>
      </c>
    </row>
    <row r="24" customFormat="false" ht="15" hidden="false" customHeight="false" outlineLevel="0" collapsed="false">
      <c r="A24" s="31" t="n">
        <v>15</v>
      </c>
      <c r="B24" s="11"/>
      <c r="C24" s="11"/>
      <c r="D24" s="32"/>
      <c r="E24" s="33"/>
      <c r="F24" s="34"/>
      <c r="G24" s="35" t="str">
        <f aca="false">IF($AB24="","",IF(INDEX(Lib_Basis,$AB24)="Piece","pcs","cm"))</f>
        <v/>
      </c>
      <c r="H24" s="36" t="n">
        <f aca="false">IF(OR($AB24="",$AC24="",N($AC24)&lt;1,N($AC24)&gt;24),0,IF($AE24=0,INDEX(Engine_Grid,(WeightIdx-1)*75+$AB24,$AD24),IF(OR($AD24&gt;=24,INDEX(Engine_Grid,(WeightIdx-1)*75+$AB24,$AD24)=0,INDEX(Engine_Grid,(WeightIdx-1)*75+$AB24,$AD24+1)=0),0,INDEX(Engine_Grid,(WeightIdx-1)*75+$AB24,$AD24)*(1-$AE24)+INDEX(Engine_Grid,(WeightIdx-1)*75+$AB24,$AD24+1)*$AE24)))</f>
        <v>0</v>
      </c>
      <c r="I24" s="37" t="n">
        <f aca="false">IF(OR($H24=0,N($F24)&lt;=0),0,$F24/100*$H24*IF(N($D24)&lt;1,1,$D24))</f>
        <v>0</v>
      </c>
      <c r="J24" s="38" t="str">
        <f aca="false">IF($AB24="","",INDEX(Lib_Needle,$AB24))</f>
        <v/>
      </c>
      <c r="K24" s="38" t="str">
        <f aca="false">IF($AB24="","",INDEX(Lib_Bobbin,$AB24))</f>
        <v/>
      </c>
      <c r="L24" s="38" t="str">
        <f aca="false">IF($AB24="","",INDEX(Lib_Looper,$AB24))</f>
        <v/>
      </c>
      <c r="M24" s="38" t="str">
        <f aca="false">IF($AB24="","",INDEX(Lib_Cover,$AB24))</f>
        <v/>
      </c>
      <c r="N24" s="11"/>
      <c r="O24" s="39" t="n">
        <f aca="false">IF($I24=0,0,IF($AF24="Y",$I24*$J24/IF(N($D24)&lt;1,1,$D24),$I24*$J24))</f>
        <v>0</v>
      </c>
      <c r="P24" s="11"/>
      <c r="Q24" s="39" t="n">
        <f aca="false">IF(AND($I24&gt;0,$AF24="Y",IF(N($D24)&lt;1,1,$D24)&gt;=2),$I24*$J24/IF(N($D24)&lt;1,1,$D24),0)</f>
        <v>0</v>
      </c>
      <c r="R24" s="11"/>
      <c r="S24" s="39" t="n">
        <f aca="false">IF(AND($I24&gt;0,$AF24="Y",IF(N($D24)&lt;1,1,$D24)&gt;=3),$I24*$J24/IF(N($D24)&lt;1,1,$D24),0)</f>
        <v>0</v>
      </c>
      <c r="T24" s="11"/>
      <c r="U24" s="39" t="n">
        <f aca="false">IF($I24=0,0,$I24*$K24)</f>
        <v>0</v>
      </c>
      <c r="V24" s="11"/>
      <c r="W24" s="39" t="n">
        <f aca="false">IF($I24=0,0,$I24*$L24)</f>
        <v>0</v>
      </c>
      <c r="X24" s="11"/>
      <c r="Y24" s="39" t="n">
        <f aca="false">IF($I24=0,0,$I24*$M24)</f>
        <v>0</v>
      </c>
      <c r="Z24" s="39" t="n">
        <f aca="false">IF($N24="",$O24,0)+IF($P24="",$Q24,0)+IF($R24="",$S24,0)+IF($T24="",$U24,0)+IF($V24="",$W24,0)+IF($X24="",$Y24,0)+IF(AND($AF24="Y",IF(N($D24)&lt;1,1,$D24)&gt;3),$I24*$J24*(IF(N($D24)&lt;1,1,$D24)-3)/IF(N($D24)&lt;1,1,$D24),0)</f>
        <v>0</v>
      </c>
      <c r="AA24" s="40" t="str">
        <f aca="false">IF(AND($C24="",N($F24)=0),"",IF($C24="","⚠ Select a stitch type",IF($AB24="","⚠ Stitch not in library",IF(N($F24)&lt;=0,"⚠ Enter "&amp;IF($G24="pcs","quantity","seam length (cm)"),IF(AND($G24="cm",N($E24)&lt;=0),"⚠ Enter SPI",IF($H24=0,"⚠ No factor at SPI "&amp;$E24&amp;" – valid "&amp;INDEX(Lib_MinSPI,$AB24)&amp;"–"&amp;INDEX(Lib_MaxSPI,$AB24),IF(AND($AF24="Y",IF(N($D24)&lt;1,1,$D24)&gt;3),"⚠ More than 3 rows – thread for extra rows not allocated",IF($Z24&gt;0.00001,"⚠ Assign threads ("&amp;TEXT($Z24,"0.00")&amp;" m unassigned)","✔ OK"))))))))</f>
        <v/>
      </c>
      <c r="AB24" s="16" t="str">
        <f aca="false">IF($C24="","",IFERROR(MATCH($C24,Lib_Names,0),""))</f>
        <v/>
      </c>
      <c r="AC24" s="41" t="str">
        <f aca="false">IF($AB24="","",IF(INDEX(Lib_Basis,$AB24)="Piece",1,N($E24)))</f>
        <v/>
      </c>
      <c r="AD24" s="16" t="str">
        <f aca="false">IF($AC24="","",INT($AC24))</f>
        <v/>
      </c>
      <c r="AE24" s="17" t="str">
        <f aca="false">IF($AC24="","",$AC24-$AD24)</f>
        <v/>
      </c>
      <c r="AF24" s="35" t="str">
        <f aca="false">IF($AB24="","",INDEX(Lib_Multi,$AB24))</f>
        <v/>
      </c>
      <c r="AG24" s="42" t="str">
        <f aca="false">IF($AB24="","",INDEX(Lib_Cat,$AB24))</f>
        <v/>
      </c>
      <c r="AH24" s="39" t="n">
        <f aca="false">IF(N($F24)&lt;=0,0,$F24/100*IF(OR($AB24="",$AC24="",N($AC24)&lt;1,N($AC24)&gt;24),0,IF($AE24=0,INDEX(Engine_Grid,0+$AB24,$AD24),IF(OR($AD24&gt;=24,INDEX(Engine_Grid,0+$AB24,$AD24)=0,INDEX(Engine_Grid,0+$AB24,$AD24+1)=0),0,INDEX(Engine_Grid,0+$AB24,$AD24)*(1-$AE24)+INDEX(Engine_Grid,0+$AB24,$AD24+1)*$AE24)))*IF(N($D24)&lt;1,1,$D24))</f>
        <v>0</v>
      </c>
      <c r="AI24" s="39" t="n">
        <f aca="false">IF(N($F24)&lt;=0,0,$F24/100*IF(OR($AB24="",$AC24="",N($AC24)&lt;1,N($AC24)&gt;24),0,IF($AE24=0,INDEX(Engine_Grid,75+$AB24,$AD24),IF(OR($AD24&gt;=24,INDEX(Engine_Grid,75+$AB24,$AD24)=0,INDEX(Engine_Grid,75+$AB24,$AD24+1)=0),0,INDEX(Engine_Grid,75+$AB24,$AD24)*(1-$AE24)+INDEX(Engine_Grid,75+$AB24,$AD24+1)*$AE24)))*IF(N($D24)&lt;1,1,$D24))</f>
        <v>0</v>
      </c>
      <c r="AJ24" s="39" t="n">
        <f aca="false">IF(N($F24)&lt;=0,0,$F24/100*IF(OR($AB24="",$AC24="",N($AC24)&lt;1,N($AC24)&gt;24),0,IF($AE24=0,INDEX(Engine_Grid,150+$AB24,$AD24),IF(OR($AD24&gt;=24,INDEX(Engine_Grid,150+$AB24,$AD24)=0,INDEX(Engine_Grid,150+$AB24,$AD24+1)=0),0,INDEX(Engine_Grid,150+$AB24,$AD24)*(1-$AE24)+INDEX(Engine_Grid,150+$AB24,$AD24+1)*$AE24)))*IF(N($D24)&lt;1,1,$D24))</f>
        <v>0</v>
      </c>
      <c r="AK24" s="39" t="n">
        <f aca="false">IF(N($F24)&lt;=0,0,$F24/100*IF(OR($AB24="",$AC24="",N($AC24)&lt;1,N($AC24)&gt;24),0,IF($AE24=0,INDEX(Engine_Grid,225+$AB24,$AD24),IF(OR($AD24&gt;=24,INDEX(Engine_Grid,225+$AB24,$AD24)=0,INDEX(Engine_Grid,225+$AB24,$AD24+1)=0),0,INDEX(Engine_Grid,225+$AB24,$AD24)*(1-$AE24)+INDEX(Engine_Grid,225+$AB24,$AD24+1)*$AE24)))*IF(N($D24)&lt;1,1,$D24))</f>
        <v>0</v>
      </c>
    </row>
    <row r="25" customFormat="false" ht="15" hidden="false" customHeight="false" outlineLevel="0" collapsed="false">
      <c r="A25" s="31" t="n">
        <v>16</v>
      </c>
      <c r="B25" s="11"/>
      <c r="C25" s="11"/>
      <c r="D25" s="32"/>
      <c r="E25" s="33"/>
      <c r="F25" s="34"/>
      <c r="G25" s="35" t="str">
        <f aca="false">IF($AB25="","",IF(INDEX(Lib_Basis,$AB25)="Piece","pcs","cm"))</f>
        <v/>
      </c>
      <c r="H25" s="36" t="n">
        <f aca="false">IF(OR($AB25="",$AC25="",N($AC25)&lt;1,N($AC25)&gt;24),0,IF($AE25=0,INDEX(Engine_Grid,(WeightIdx-1)*75+$AB25,$AD25),IF(OR($AD25&gt;=24,INDEX(Engine_Grid,(WeightIdx-1)*75+$AB25,$AD25)=0,INDEX(Engine_Grid,(WeightIdx-1)*75+$AB25,$AD25+1)=0),0,INDEX(Engine_Grid,(WeightIdx-1)*75+$AB25,$AD25)*(1-$AE25)+INDEX(Engine_Grid,(WeightIdx-1)*75+$AB25,$AD25+1)*$AE25)))</f>
        <v>0</v>
      </c>
      <c r="I25" s="37" t="n">
        <f aca="false">IF(OR($H25=0,N($F25)&lt;=0),0,$F25/100*$H25*IF(N($D25)&lt;1,1,$D25))</f>
        <v>0</v>
      </c>
      <c r="J25" s="38" t="str">
        <f aca="false">IF($AB25="","",INDEX(Lib_Needle,$AB25))</f>
        <v/>
      </c>
      <c r="K25" s="38" t="str">
        <f aca="false">IF($AB25="","",INDEX(Lib_Bobbin,$AB25))</f>
        <v/>
      </c>
      <c r="L25" s="38" t="str">
        <f aca="false">IF($AB25="","",INDEX(Lib_Looper,$AB25))</f>
        <v/>
      </c>
      <c r="M25" s="38" t="str">
        <f aca="false">IF($AB25="","",INDEX(Lib_Cover,$AB25))</f>
        <v/>
      </c>
      <c r="N25" s="11"/>
      <c r="O25" s="39" t="n">
        <f aca="false">IF($I25=0,0,IF($AF25="Y",$I25*$J25/IF(N($D25)&lt;1,1,$D25),$I25*$J25))</f>
        <v>0</v>
      </c>
      <c r="P25" s="11"/>
      <c r="Q25" s="39" t="n">
        <f aca="false">IF(AND($I25&gt;0,$AF25="Y",IF(N($D25)&lt;1,1,$D25)&gt;=2),$I25*$J25/IF(N($D25)&lt;1,1,$D25),0)</f>
        <v>0</v>
      </c>
      <c r="R25" s="11"/>
      <c r="S25" s="39" t="n">
        <f aca="false">IF(AND($I25&gt;0,$AF25="Y",IF(N($D25)&lt;1,1,$D25)&gt;=3),$I25*$J25/IF(N($D25)&lt;1,1,$D25),0)</f>
        <v>0</v>
      </c>
      <c r="T25" s="11"/>
      <c r="U25" s="39" t="n">
        <f aca="false">IF($I25=0,0,$I25*$K25)</f>
        <v>0</v>
      </c>
      <c r="V25" s="11"/>
      <c r="W25" s="39" t="n">
        <f aca="false">IF($I25=0,0,$I25*$L25)</f>
        <v>0</v>
      </c>
      <c r="X25" s="11"/>
      <c r="Y25" s="39" t="n">
        <f aca="false">IF($I25=0,0,$I25*$M25)</f>
        <v>0</v>
      </c>
      <c r="Z25" s="39" t="n">
        <f aca="false">IF($N25="",$O25,0)+IF($P25="",$Q25,0)+IF($R25="",$S25,0)+IF($T25="",$U25,0)+IF($V25="",$W25,0)+IF($X25="",$Y25,0)+IF(AND($AF25="Y",IF(N($D25)&lt;1,1,$D25)&gt;3),$I25*$J25*(IF(N($D25)&lt;1,1,$D25)-3)/IF(N($D25)&lt;1,1,$D25),0)</f>
        <v>0</v>
      </c>
      <c r="AA25" s="40" t="str">
        <f aca="false">IF(AND($C25="",N($F25)=0),"",IF($C25="","⚠ Select a stitch type",IF($AB25="","⚠ Stitch not in library",IF(N($F25)&lt;=0,"⚠ Enter "&amp;IF($G25="pcs","quantity","seam length (cm)"),IF(AND($G25="cm",N($E25)&lt;=0),"⚠ Enter SPI",IF($H25=0,"⚠ No factor at SPI "&amp;$E25&amp;" – valid "&amp;INDEX(Lib_MinSPI,$AB25)&amp;"–"&amp;INDEX(Lib_MaxSPI,$AB25),IF(AND($AF25="Y",IF(N($D25)&lt;1,1,$D25)&gt;3),"⚠ More than 3 rows – thread for extra rows not allocated",IF($Z25&gt;0.00001,"⚠ Assign threads ("&amp;TEXT($Z25,"0.00")&amp;" m unassigned)","✔ OK"))))))))</f>
        <v/>
      </c>
      <c r="AB25" s="16" t="str">
        <f aca="false">IF($C25="","",IFERROR(MATCH($C25,Lib_Names,0),""))</f>
        <v/>
      </c>
      <c r="AC25" s="41" t="str">
        <f aca="false">IF($AB25="","",IF(INDEX(Lib_Basis,$AB25)="Piece",1,N($E25)))</f>
        <v/>
      </c>
      <c r="AD25" s="16" t="str">
        <f aca="false">IF($AC25="","",INT($AC25))</f>
        <v/>
      </c>
      <c r="AE25" s="17" t="str">
        <f aca="false">IF($AC25="","",$AC25-$AD25)</f>
        <v/>
      </c>
      <c r="AF25" s="35" t="str">
        <f aca="false">IF($AB25="","",INDEX(Lib_Multi,$AB25))</f>
        <v/>
      </c>
      <c r="AG25" s="42" t="str">
        <f aca="false">IF($AB25="","",INDEX(Lib_Cat,$AB25))</f>
        <v/>
      </c>
      <c r="AH25" s="39" t="n">
        <f aca="false">IF(N($F25)&lt;=0,0,$F25/100*IF(OR($AB25="",$AC25="",N($AC25)&lt;1,N($AC25)&gt;24),0,IF($AE25=0,INDEX(Engine_Grid,0+$AB25,$AD25),IF(OR($AD25&gt;=24,INDEX(Engine_Grid,0+$AB25,$AD25)=0,INDEX(Engine_Grid,0+$AB25,$AD25+1)=0),0,INDEX(Engine_Grid,0+$AB25,$AD25)*(1-$AE25)+INDEX(Engine_Grid,0+$AB25,$AD25+1)*$AE25)))*IF(N($D25)&lt;1,1,$D25))</f>
        <v>0</v>
      </c>
      <c r="AI25" s="39" t="n">
        <f aca="false">IF(N($F25)&lt;=0,0,$F25/100*IF(OR($AB25="",$AC25="",N($AC25)&lt;1,N($AC25)&gt;24),0,IF($AE25=0,INDEX(Engine_Grid,75+$AB25,$AD25),IF(OR($AD25&gt;=24,INDEX(Engine_Grid,75+$AB25,$AD25)=0,INDEX(Engine_Grid,75+$AB25,$AD25+1)=0),0,INDEX(Engine_Grid,75+$AB25,$AD25)*(1-$AE25)+INDEX(Engine_Grid,75+$AB25,$AD25+1)*$AE25)))*IF(N($D25)&lt;1,1,$D25))</f>
        <v>0</v>
      </c>
      <c r="AJ25" s="39" t="n">
        <f aca="false">IF(N($F25)&lt;=0,0,$F25/100*IF(OR($AB25="",$AC25="",N($AC25)&lt;1,N($AC25)&gt;24),0,IF($AE25=0,INDEX(Engine_Grid,150+$AB25,$AD25),IF(OR($AD25&gt;=24,INDEX(Engine_Grid,150+$AB25,$AD25)=0,INDEX(Engine_Grid,150+$AB25,$AD25+1)=0),0,INDEX(Engine_Grid,150+$AB25,$AD25)*(1-$AE25)+INDEX(Engine_Grid,150+$AB25,$AD25+1)*$AE25)))*IF(N($D25)&lt;1,1,$D25))</f>
        <v>0</v>
      </c>
      <c r="AK25" s="39" t="n">
        <f aca="false">IF(N($F25)&lt;=0,0,$F25/100*IF(OR($AB25="",$AC25="",N($AC25)&lt;1,N($AC25)&gt;24),0,IF($AE25=0,INDEX(Engine_Grid,225+$AB25,$AD25),IF(OR($AD25&gt;=24,INDEX(Engine_Grid,225+$AB25,$AD25)=0,INDEX(Engine_Grid,225+$AB25,$AD25+1)=0),0,INDEX(Engine_Grid,225+$AB25,$AD25)*(1-$AE25)+INDEX(Engine_Grid,225+$AB25,$AD25+1)*$AE25)))*IF(N($D25)&lt;1,1,$D25))</f>
        <v>0</v>
      </c>
    </row>
    <row r="26" customFormat="false" ht="15" hidden="false" customHeight="false" outlineLevel="0" collapsed="false">
      <c r="A26" s="31" t="n">
        <v>17</v>
      </c>
      <c r="B26" s="11"/>
      <c r="C26" s="11"/>
      <c r="D26" s="32"/>
      <c r="E26" s="33"/>
      <c r="F26" s="34"/>
      <c r="G26" s="35" t="str">
        <f aca="false">IF($AB26="","",IF(INDEX(Lib_Basis,$AB26)="Piece","pcs","cm"))</f>
        <v/>
      </c>
      <c r="H26" s="36" t="n">
        <f aca="false">IF(OR($AB26="",$AC26="",N($AC26)&lt;1,N($AC26)&gt;24),0,IF($AE26=0,INDEX(Engine_Grid,(WeightIdx-1)*75+$AB26,$AD26),IF(OR($AD26&gt;=24,INDEX(Engine_Grid,(WeightIdx-1)*75+$AB26,$AD26)=0,INDEX(Engine_Grid,(WeightIdx-1)*75+$AB26,$AD26+1)=0),0,INDEX(Engine_Grid,(WeightIdx-1)*75+$AB26,$AD26)*(1-$AE26)+INDEX(Engine_Grid,(WeightIdx-1)*75+$AB26,$AD26+1)*$AE26)))</f>
        <v>0</v>
      </c>
      <c r="I26" s="37" t="n">
        <f aca="false">IF(OR($H26=0,N($F26)&lt;=0),0,$F26/100*$H26*IF(N($D26)&lt;1,1,$D26))</f>
        <v>0</v>
      </c>
      <c r="J26" s="38" t="str">
        <f aca="false">IF($AB26="","",INDEX(Lib_Needle,$AB26))</f>
        <v/>
      </c>
      <c r="K26" s="38" t="str">
        <f aca="false">IF($AB26="","",INDEX(Lib_Bobbin,$AB26))</f>
        <v/>
      </c>
      <c r="L26" s="38" t="str">
        <f aca="false">IF($AB26="","",INDEX(Lib_Looper,$AB26))</f>
        <v/>
      </c>
      <c r="M26" s="38" t="str">
        <f aca="false">IF($AB26="","",INDEX(Lib_Cover,$AB26))</f>
        <v/>
      </c>
      <c r="N26" s="11"/>
      <c r="O26" s="39" t="n">
        <f aca="false">IF($I26=0,0,IF($AF26="Y",$I26*$J26/IF(N($D26)&lt;1,1,$D26),$I26*$J26))</f>
        <v>0</v>
      </c>
      <c r="P26" s="11"/>
      <c r="Q26" s="39" t="n">
        <f aca="false">IF(AND($I26&gt;0,$AF26="Y",IF(N($D26)&lt;1,1,$D26)&gt;=2),$I26*$J26/IF(N($D26)&lt;1,1,$D26),0)</f>
        <v>0</v>
      </c>
      <c r="R26" s="11"/>
      <c r="S26" s="39" t="n">
        <f aca="false">IF(AND($I26&gt;0,$AF26="Y",IF(N($D26)&lt;1,1,$D26)&gt;=3),$I26*$J26/IF(N($D26)&lt;1,1,$D26),0)</f>
        <v>0</v>
      </c>
      <c r="T26" s="11"/>
      <c r="U26" s="39" t="n">
        <f aca="false">IF($I26=0,0,$I26*$K26)</f>
        <v>0</v>
      </c>
      <c r="V26" s="11"/>
      <c r="W26" s="39" t="n">
        <f aca="false">IF($I26=0,0,$I26*$L26)</f>
        <v>0</v>
      </c>
      <c r="X26" s="11"/>
      <c r="Y26" s="39" t="n">
        <f aca="false">IF($I26=0,0,$I26*$M26)</f>
        <v>0</v>
      </c>
      <c r="Z26" s="39" t="n">
        <f aca="false">IF($N26="",$O26,0)+IF($P26="",$Q26,0)+IF($R26="",$S26,0)+IF($T26="",$U26,0)+IF($V26="",$W26,0)+IF($X26="",$Y26,0)+IF(AND($AF26="Y",IF(N($D26)&lt;1,1,$D26)&gt;3),$I26*$J26*(IF(N($D26)&lt;1,1,$D26)-3)/IF(N($D26)&lt;1,1,$D26),0)</f>
        <v>0</v>
      </c>
      <c r="AA26" s="40" t="str">
        <f aca="false">IF(AND($C26="",N($F26)=0),"",IF($C26="","⚠ Select a stitch type",IF($AB26="","⚠ Stitch not in library",IF(N($F26)&lt;=0,"⚠ Enter "&amp;IF($G26="pcs","quantity","seam length (cm)"),IF(AND($G26="cm",N($E26)&lt;=0),"⚠ Enter SPI",IF($H26=0,"⚠ No factor at SPI "&amp;$E26&amp;" – valid "&amp;INDEX(Lib_MinSPI,$AB26)&amp;"–"&amp;INDEX(Lib_MaxSPI,$AB26),IF(AND($AF26="Y",IF(N($D26)&lt;1,1,$D26)&gt;3),"⚠ More than 3 rows – thread for extra rows not allocated",IF($Z26&gt;0.00001,"⚠ Assign threads ("&amp;TEXT($Z26,"0.00")&amp;" m unassigned)","✔ OK"))))))))</f>
        <v/>
      </c>
      <c r="AB26" s="16" t="str">
        <f aca="false">IF($C26="","",IFERROR(MATCH($C26,Lib_Names,0),""))</f>
        <v/>
      </c>
      <c r="AC26" s="41" t="str">
        <f aca="false">IF($AB26="","",IF(INDEX(Lib_Basis,$AB26)="Piece",1,N($E26)))</f>
        <v/>
      </c>
      <c r="AD26" s="16" t="str">
        <f aca="false">IF($AC26="","",INT($AC26))</f>
        <v/>
      </c>
      <c r="AE26" s="17" t="str">
        <f aca="false">IF($AC26="","",$AC26-$AD26)</f>
        <v/>
      </c>
      <c r="AF26" s="35" t="str">
        <f aca="false">IF($AB26="","",INDEX(Lib_Multi,$AB26))</f>
        <v/>
      </c>
      <c r="AG26" s="42" t="str">
        <f aca="false">IF($AB26="","",INDEX(Lib_Cat,$AB26))</f>
        <v/>
      </c>
      <c r="AH26" s="39" t="n">
        <f aca="false">IF(N($F26)&lt;=0,0,$F26/100*IF(OR($AB26="",$AC26="",N($AC26)&lt;1,N($AC26)&gt;24),0,IF($AE26=0,INDEX(Engine_Grid,0+$AB26,$AD26),IF(OR($AD26&gt;=24,INDEX(Engine_Grid,0+$AB26,$AD26)=0,INDEX(Engine_Grid,0+$AB26,$AD26+1)=0),0,INDEX(Engine_Grid,0+$AB26,$AD26)*(1-$AE26)+INDEX(Engine_Grid,0+$AB26,$AD26+1)*$AE26)))*IF(N($D26)&lt;1,1,$D26))</f>
        <v>0</v>
      </c>
      <c r="AI26" s="39" t="n">
        <f aca="false">IF(N($F26)&lt;=0,0,$F26/100*IF(OR($AB26="",$AC26="",N($AC26)&lt;1,N($AC26)&gt;24),0,IF($AE26=0,INDEX(Engine_Grid,75+$AB26,$AD26),IF(OR($AD26&gt;=24,INDEX(Engine_Grid,75+$AB26,$AD26)=0,INDEX(Engine_Grid,75+$AB26,$AD26+1)=0),0,INDEX(Engine_Grid,75+$AB26,$AD26)*(1-$AE26)+INDEX(Engine_Grid,75+$AB26,$AD26+1)*$AE26)))*IF(N($D26)&lt;1,1,$D26))</f>
        <v>0</v>
      </c>
      <c r="AJ26" s="39" t="n">
        <f aca="false">IF(N($F26)&lt;=0,0,$F26/100*IF(OR($AB26="",$AC26="",N($AC26)&lt;1,N($AC26)&gt;24),0,IF($AE26=0,INDEX(Engine_Grid,150+$AB26,$AD26),IF(OR($AD26&gt;=24,INDEX(Engine_Grid,150+$AB26,$AD26)=0,INDEX(Engine_Grid,150+$AB26,$AD26+1)=0),0,INDEX(Engine_Grid,150+$AB26,$AD26)*(1-$AE26)+INDEX(Engine_Grid,150+$AB26,$AD26+1)*$AE26)))*IF(N($D26)&lt;1,1,$D26))</f>
        <v>0</v>
      </c>
      <c r="AK26" s="39" t="n">
        <f aca="false">IF(N($F26)&lt;=0,0,$F26/100*IF(OR($AB26="",$AC26="",N($AC26)&lt;1,N($AC26)&gt;24),0,IF($AE26=0,INDEX(Engine_Grid,225+$AB26,$AD26),IF(OR($AD26&gt;=24,INDEX(Engine_Grid,225+$AB26,$AD26)=0,INDEX(Engine_Grid,225+$AB26,$AD26+1)=0),0,INDEX(Engine_Grid,225+$AB26,$AD26)*(1-$AE26)+INDEX(Engine_Grid,225+$AB26,$AD26+1)*$AE26)))*IF(N($D26)&lt;1,1,$D26))</f>
        <v>0</v>
      </c>
    </row>
    <row r="27" customFormat="false" ht="15" hidden="false" customHeight="false" outlineLevel="0" collapsed="false">
      <c r="A27" s="31" t="n">
        <v>18</v>
      </c>
      <c r="B27" s="11"/>
      <c r="C27" s="11"/>
      <c r="D27" s="32"/>
      <c r="E27" s="33"/>
      <c r="F27" s="34"/>
      <c r="G27" s="35" t="str">
        <f aca="false">IF($AB27="","",IF(INDEX(Lib_Basis,$AB27)="Piece","pcs","cm"))</f>
        <v/>
      </c>
      <c r="H27" s="36" t="n">
        <f aca="false">IF(OR($AB27="",$AC27="",N($AC27)&lt;1,N($AC27)&gt;24),0,IF($AE27=0,INDEX(Engine_Grid,(WeightIdx-1)*75+$AB27,$AD27),IF(OR($AD27&gt;=24,INDEX(Engine_Grid,(WeightIdx-1)*75+$AB27,$AD27)=0,INDEX(Engine_Grid,(WeightIdx-1)*75+$AB27,$AD27+1)=0),0,INDEX(Engine_Grid,(WeightIdx-1)*75+$AB27,$AD27)*(1-$AE27)+INDEX(Engine_Grid,(WeightIdx-1)*75+$AB27,$AD27+1)*$AE27)))</f>
        <v>0</v>
      </c>
      <c r="I27" s="37" t="n">
        <f aca="false">IF(OR($H27=0,N($F27)&lt;=0),0,$F27/100*$H27*IF(N($D27)&lt;1,1,$D27))</f>
        <v>0</v>
      </c>
      <c r="J27" s="38" t="str">
        <f aca="false">IF($AB27="","",INDEX(Lib_Needle,$AB27))</f>
        <v/>
      </c>
      <c r="K27" s="38" t="str">
        <f aca="false">IF($AB27="","",INDEX(Lib_Bobbin,$AB27))</f>
        <v/>
      </c>
      <c r="L27" s="38" t="str">
        <f aca="false">IF($AB27="","",INDEX(Lib_Looper,$AB27))</f>
        <v/>
      </c>
      <c r="M27" s="38" t="str">
        <f aca="false">IF($AB27="","",INDEX(Lib_Cover,$AB27))</f>
        <v/>
      </c>
      <c r="N27" s="11"/>
      <c r="O27" s="39" t="n">
        <f aca="false">IF($I27=0,0,IF($AF27="Y",$I27*$J27/IF(N($D27)&lt;1,1,$D27),$I27*$J27))</f>
        <v>0</v>
      </c>
      <c r="P27" s="11"/>
      <c r="Q27" s="39" t="n">
        <f aca="false">IF(AND($I27&gt;0,$AF27="Y",IF(N($D27)&lt;1,1,$D27)&gt;=2),$I27*$J27/IF(N($D27)&lt;1,1,$D27),0)</f>
        <v>0</v>
      </c>
      <c r="R27" s="11"/>
      <c r="S27" s="39" t="n">
        <f aca="false">IF(AND($I27&gt;0,$AF27="Y",IF(N($D27)&lt;1,1,$D27)&gt;=3),$I27*$J27/IF(N($D27)&lt;1,1,$D27),0)</f>
        <v>0</v>
      </c>
      <c r="T27" s="11"/>
      <c r="U27" s="39" t="n">
        <f aca="false">IF($I27=0,0,$I27*$K27)</f>
        <v>0</v>
      </c>
      <c r="V27" s="11"/>
      <c r="W27" s="39" t="n">
        <f aca="false">IF($I27=0,0,$I27*$L27)</f>
        <v>0</v>
      </c>
      <c r="X27" s="11"/>
      <c r="Y27" s="39" t="n">
        <f aca="false">IF($I27=0,0,$I27*$M27)</f>
        <v>0</v>
      </c>
      <c r="Z27" s="39" t="n">
        <f aca="false">IF($N27="",$O27,0)+IF($P27="",$Q27,0)+IF($R27="",$S27,0)+IF($T27="",$U27,0)+IF($V27="",$W27,0)+IF($X27="",$Y27,0)+IF(AND($AF27="Y",IF(N($D27)&lt;1,1,$D27)&gt;3),$I27*$J27*(IF(N($D27)&lt;1,1,$D27)-3)/IF(N($D27)&lt;1,1,$D27),0)</f>
        <v>0</v>
      </c>
      <c r="AA27" s="40" t="str">
        <f aca="false">IF(AND($C27="",N($F27)=0),"",IF($C27="","⚠ Select a stitch type",IF($AB27="","⚠ Stitch not in library",IF(N($F27)&lt;=0,"⚠ Enter "&amp;IF($G27="pcs","quantity","seam length (cm)"),IF(AND($G27="cm",N($E27)&lt;=0),"⚠ Enter SPI",IF($H27=0,"⚠ No factor at SPI "&amp;$E27&amp;" – valid "&amp;INDEX(Lib_MinSPI,$AB27)&amp;"–"&amp;INDEX(Lib_MaxSPI,$AB27),IF(AND($AF27="Y",IF(N($D27)&lt;1,1,$D27)&gt;3),"⚠ More than 3 rows – thread for extra rows not allocated",IF($Z27&gt;0.00001,"⚠ Assign threads ("&amp;TEXT($Z27,"0.00")&amp;" m unassigned)","✔ OK"))))))))</f>
        <v/>
      </c>
      <c r="AB27" s="16" t="str">
        <f aca="false">IF($C27="","",IFERROR(MATCH($C27,Lib_Names,0),""))</f>
        <v/>
      </c>
      <c r="AC27" s="41" t="str">
        <f aca="false">IF($AB27="","",IF(INDEX(Lib_Basis,$AB27)="Piece",1,N($E27)))</f>
        <v/>
      </c>
      <c r="AD27" s="16" t="str">
        <f aca="false">IF($AC27="","",INT($AC27))</f>
        <v/>
      </c>
      <c r="AE27" s="17" t="str">
        <f aca="false">IF($AC27="","",$AC27-$AD27)</f>
        <v/>
      </c>
      <c r="AF27" s="35" t="str">
        <f aca="false">IF($AB27="","",INDEX(Lib_Multi,$AB27))</f>
        <v/>
      </c>
      <c r="AG27" s="42" t="str">
        <f aca="false">IF($AB27="","",INDEX(Lib_Cat,$AB27))</f>
        <v/>
      </c>
      <c r="AH27" s="39" t="n">
        <f aca="false">IF(N($F27)&lt;=0,0,$F27/100*IF(OR($AB27="",$AC27="",N($AC27)&lt;1,N($AC27)&gt;24),0,IF($AE27=0,INDEX(Engine_Grid,0+$AB27,$AD27),IF(OR($AD27&gt;=24,INDEX(Engine_Grid,0+$AB27,$AD27)=0,INDEX(Engine_Grid,0+$AB27,$AD27+1)=0),0,INDEX(Engine_Grid,0+$AB27,$AD27)*(1-$AE27)+INDEX(Engine_Grid,0+$AB27,$AD27+1)*$AE27)))*IF(N($D27)&lt;1,1,$D27))</f>
        <v>0</v>
      </c>
      <c r="AI27" s="39" t="n">
        <f aca="false">IF(N($F27)&lt;=0,0,$F27/100*IF(OR($AB27="",$AC27="",N($AC27)&lt;1,N($AC27)&gt;24),0,IF($AE27=0,INDEX(Engine_Grid,75+$AB27,$AD27),IF(OR($AD27&gt;=24,INDEX(Engine_Grid,75+$AB27,$AD27)=0,INDEX(Engine_Grid,75+$AB27,$AD27+1)=0),0,INDEX(Engine_Grid,75+$AB27,$AD27)*(1-$AE27)+INDEX(Engine_Grid,75+$AB27,$AD27+1)*$AE27)))*IF(N($D27)&lt;1,1,$D27))</f>
        <v>0</v>
      </c>
      <c r="AJ27" s="39" t="n">
        <f aca="false">IF(N($F27)&lt;=0,0,$F27/100*IF(OR($AB27="",$AC27="",N($AC27)&lt;1,N($AC27)&gt;24),0,IF($AE27=0,INDEX(Engine_Grid,150+$AB27,$AD27),IF(OR($AD27&gt;=24,INDEX(Engine_Grid,150+$AB27,$AD27)=0,INDEX(Engine_Grid,150+$AB27,$AD27+1)=0),0,INDEX(Engine_Grid,150+$AB27,$AD27)*(1-$AE27)+INDEX(Engine_Grid,150+$AB27,$AD27+1)*$AE27)))*IF(N($D27)&lt;1,1,$D27))</f>
        <v>0</v>
      </c>
      <c r="AK27" s="39" t="n">
        <f aca="false">IF(N($F27)&lt;=0,0,$F27/100*IF(OR($AB27="",$AC27="",N($AC27)&lt;1,N($AC27)&gt;24),0,IF($AE27=0,INDEX(Engine_Grid,225+$AB27,$AD27),IF(OR($AD27&gt;=24,INDEX(Engine_Grid,225+$AB27,$AD27)=0,INDEX(Engine_Grid,225+$AB27,$AD27+1)=0),0,INDEX(Engine_Grid,225+$AB27,$AD27)*(1-$AE27)+INDEX(Engine_Grid,225+$AB27,$AD27+1)*$AE27)))*IF(N($D27)&lt;1,1,$D27))</f>
        <v>0</v>
      </c>
    </row>
    <row r="28" customFormat="false" ht="15" hidden="false" customHeight="false" outlineLevel="0" collapsed="false">
      <c r="A28" s="31" t="n">
        <v>19</v>
      </c>
      <c r="B28" s="11"/>
      <c r="C28" s="11"/>
      <c r="D28" s="32"/>
      <c r="E28" s="33"/>
      <c r="F28" s="34"/>
      <c r="G28" s="35" t="str">
        <f aca="false">IF($AB28="","",IF(INDEX(Lib_Basis,$AB28)="Piece","pcs","cm"))</f>
        <v/>
      </c>
      <c r="H28" s="36" t="n">
        <f aca="false">IF(OR($AB28="",$AC28="",N($AC28)&lt;1,N($AC28)&gt;24),0,IF($AE28=0,INDEX(Engine_Grid,(WeightIdx-1)*75+$AB28,$AD28),IF(OR($AD28&gt;=24,INDEX(Engine_Grid,(WeightIdx-1)*75+$AB28,$AD28)=0,INDEX(Engine_Grid,(WeightIdx-1)*75+$AB28,$AD28+1)=0),0,INDEX(Engine_Grid,(WeightIdx-1)*75+$AB28,$AD28)*(1-$AE28)+INDEX(Engine_Grid,(WeightIdx-1)*75+$AB28,$AD28+1)*$AE28)))</f>
        <v>0</v>
      </c>
      <c r="I28" s="37" t="n">
        <f aca="false">IF(OR($H28=0,N($F28)&lt;=0),0,$F28/100*$H28*IF(N($D28)&lt;1,1,$D28))</f>
        <v>0</v>
      </c>
      <c r="J28" s="38" t="str">
        <f aca="false">IF($AB28="","",INDEX(Lib_Needle,$AB28))</f>
        <v/>
      </c>
      <c r="K28" s="38" t="str">
        <f aca="false">IF($AB28="","",INDEX(Lib_Bobbin,$AB28))</f>
        <v/>
      </c>
      <c r="L28" s="38" t="str">
        <f aca="false">IF($AB28="","",INDEX(Lib_Looper,$AB28))</f>
        <v/>
      </c>
      <c r="M28" s="38" t="str">
        <f aca="false">IF($AB28="","",INDEX(Lib_Cover,$AB28))</f>
        <v/>
      </c>
      <c r="N28" s="11"/>
      <c r="O28" s="39" t="n">
        <f aca="false">IF($I28=0,0,IF($AF28="Y",$I28*$J28/IF(N($D28)&lt;1,1,$D28),$I28*$J28))</f>
        <v>0</v>
      </c>
      <c r="P28" s="11"/>
      <c r="Q28" s="39" t="n">
        <f aca="false">IF(AND($I28&gt;0,$AF28="Y",IF(N($D28)&lt;1,1,$D28)&gt;=2),$I28*$J28/IF(N($D28)&lt;1,1,$D28),0)</f>
        <v>0</v>
      </c>
      <c r="R28" s="11"/>
      <c r="S28" s="39" t="n">
        <f aca="false">IF(AND($I28&gt;0,$AF28="Y",IF(N($D28)&lt;1,1,$D28)&gt;=3),$I28*$J28/IF(N($D28)&lt;1,1,$D28),0)</f>
        <v>0</v>
      </c>
      <c r="T28" s="11"/>
      <c r="U28" s="39" t="n">
        <f aca="false">IF($I28=0,0,$I28*$K28)</f>
        <v>0</v>
      </c>
      <c r="V28" s="11"/>
      <c r="W28" s="39" t="n">
        <f aca="false">IF($I28=0,0,$I28*$L28)</f>
        <v>0</v>
      </c>
      <c r="X28" s="11"/>
      <c r="Y28" s="39" t="n">
        <f aca="false">IF($I28=0,0,$I28*$M28)</f>
        <v>0</v>
      </c>
      <c r="Z28" s="39" t="n">
        <f aca="false">IF($N28="",$O28,0)+IF($P28="",$Q28,0)+IF($R28="",$S28,0)+IF($T28="",$U28,0)+IF($V28="",$W28,0)+IF($X28="",$Y28,0)+IF(AND($AF28="Y",IF(N($D28)&lt;1,1,$D28)&gt;3),$I28*$J28*(IF(N($D28)&lt;1,1,$D28)-3)/IF(N($D28)&lt;1,1,$D28),0)</f>
        <v>0</v>
      </c>
      <c r="AA28" s="40" t="str">
        <f aca="false">IF(AND($C28="",N($F28)=0),"",IF($C28="","⚠ Select a stitch type",IF($AB28="","⚠ Stitch not in library",IF(N($F28)&lt;=0,"⚠ Enter "&amp;IF($G28="pcs","quantity","seam length (cm)"),IF(AND($G28="cm",N($E28)&lt;=0),"⚠ Enter SPI",IF($H28=0,"⚠ No factor at SPI "&amp;$E28&amp;" – valid "&amp;INDEX(Lib_MinSPI,$AB28)&amp;"–"&amp;INDEX(Lib_MaxSPI,$AB28),IF(AND($AF28="Y",IF(N($D28)&lt;1,1,$D28)&gt;3),"⚠ More than 3 rows – thread for extra rows not allocated",IF($Z28&gt;0.00001,"⚠ Assign threads ("&amp;TEXT($Z28,"0.00")&amp;" m unassigned)","✔ OK"))))))))</f>
        <v/>
      </c>
      <c r="AB28" s="16" t="str">
        <f aca="false">IF($C28="","",IFERROR(MATCH($C28,Lib_Names,0),""))</f>
        <v/>
      </c>
      <c r="AC28" s="41" t="str">
        <f aca="false">IF($AB28="","",IF(INDEX(Lib_Basis,$AB28)="Piece",1,N($E28)))</f>
        <v/>
      </c>
      <c r="AD28" s="16" t="str">
        <f aca="false">IF($AC28="","",INT($AC28))</f>
        <v/>
      </c>
      <c r="AE28" s="17" t="str">
        <f aca="false">IF($AC28="","",$AC28-$AD28)</f>
        <v/>
      </c>
      <c r="AF28" s="35" t="str">
        <f aca="false">IF($AB28="","",INDEX(Lib_Multi,$AB28))</f>
        <v/>
      </c>
      <c r="AG28" s="42" t="str">
        <f aca="false">IF($AB28="","",INDEX(Lib_Cat,$AB28))</f>
        <v/>
      </c>
      <c r="AH28" s="39" t="n">
        <f aca="false">IF(N($F28)&lt;=0,0,$F28/100*IF(OR($AB28="",$AC28="",N($AC28)&lt;1,N($AC28)&gt;24),0,IF($AE28=0,INDEX(Engine_Grid,0+$AB28,$AD28),IF(OR($AD28&gt;=24,INDEX(Engine_Grid,0+$AB28,$AD28)=0,INDEX(Engine_Grid,0+$AB28,$AD28+1)=0),0,INDEX(Engine_Grid,0+$AB28,$AD28)*(1-$AE28)+INDEX(Engine_Grid,0+$AB28,$AD28+1)*$AE28)))*IF(N($D28)&lt;1,1,$D28))</f>
        <v>0</v>
      </c>
      <c r="AI28" s="39" t="n">
        <f aca="false">IF(N($F28)&lt;=0,0,$F28/100*IF(OR($AB28="",$AC28="",N($AC28)&lt;1,N($AC28)&gt;24),0,IF($AE28=0,INDEX(Engine_Grid,75+$AB28,$AD28),IF(OR($AD28&gt;=24,INDEX(Engine_Grid,75+$AB28,$AD28)=0,INDEX(Engine_Grid,75+$AB28,$AD28+1)=0),0,INDEX(Engine_Grid,75+$AB28,$AD28)*(1-$AE28)+INDEX(Engine_Grid,75+$AB28,$AD28+1)*$AE28)))*IF(N($D28)&lt;1,1,$D28))</f>
        <v>0</v>
      </c>
      <c r="AJ28" s="39" t="n">
        <f aca="false">IF(N($F28)&lt;=0,0,$F28/100*IF(OR($AB28="",$AC28="",N($AC28)&lt;1,N($AC28)&gt;24),0,IF($AE28=0,INDEX(Engine_Grid,150+$AB28,$AD28),IF(OR($AD28&gt;=24,INDEX(Engine_Grid,150+$AB28,$AD28)=0,INDEX(Engine_Grid,150+$AB28,$AD28+1)=0),0,INDEX(Engine_Grid,150+$AB28,$AD28)*(1-$AE28)+INDEX(Engine_Grid,150+$AB28,$AD28+1)*$AE28)))*IF(N($D28)&lt;1,1,$D28))</f>
        <v>0</v>
      </c>
      <c r="AK28" s="39" t="n">
        <f aca="false">IF(N($F28)&lt;=0,0,$F28/100*IF(OR($AB28="",$AC28="",N($AC28)&lt;1,N($AC28)&gt;24),0,IF($AE28=0,INDEX(Engine_Grid,225+$AB28,$AD28),IF(OR($AD28&gt;=24,INDEX(Engine_Grid,225+$AB28,$AD28)=0,INDEX(Engine_Grid,225+$AB28,$AD28+1)=0),0,INDEX(Engine_Grid,225+$AB28,$AD28)*(1-$AE28)+INDEX(Engine_Grid,225+$AB28,$AD28+1)*$AE28)))*IF(N($D28)&lt;1,1,$D28))</f>
        <v>0</v>
      </c>
    </row>
    <row r="29" customFormat="false" ht="15" hidden="false" customHeight="false" outlineLevel="0" collapsed="false">
      <c r="A29" s="31" t="n">
        <v>20</v>
      </c>
      <c r="B29" s="11"/>
      <c r="C29" s="11"/>
      <c r="D29" s="32"/>
      <c r="E29" s="33"/>
      <c r="F29" s="34"/>
      <c r="G29" s="35" t="str">
        <f aca="false">IF($AB29="","",IF(INDEX(Lib_Basis,$AB29)="Piece","pcs","cm"))</f>
        <v/>
      </c>
      <c r="H29" s="36" t="n">
        <f aca="false">IF(OR($AB29="",$AC29="",N($AC29)&lt;1,N($AC29)&gt;24),0,IF($AE29=0,INDEX(Engine_Grid,(WeightIdx-1)*75+$AB29,$AD29),IF(OR($AD29&gt;=24,INDEX(Engine_Grid,(WeightIdx-1)*75+$AB29,$AD29)=0,INDEX(Engine_Grid,(WeightIdx-1)*75+$AB29,$AD29+1)=0),0,INDEX(Engine_Grid,(WeightIdx-1)*75+$AB29,$AD29)*(1-$AE29)+INDEX(Engine_Grid,(WeightIdx-1)*75+$AB29,$AD29+1)*$AE29)))</f>
        <v>0</v>
      </c>
      <c r="I29" s="37" t="n">
        <f aca="false">IF(OR($H29=0,N($F29)&lt;=0),0,$F29/100*$H29*IF(N($D29)&lt;1,1,$D29))</f>
        <v>0</v>
      </c>
      <c r="J29" s="38" t="str">
        <f aca="false">IF($AB29="","",INDEX(Lib_Needle,$AB29))</f>
        <v/>
      </c>
      <c r="K29" s="38" t="str">
        <f aca="false">IF($AB29="","",INDEX(Lib_Bobbin,$AB29))</f>
        <v/>
      </c>
      <c r="L29" s="38" t="str">
        <f aca="false">IF($AB29="","",INDEX(Lib_Looper,$AB29))</f>
        <v/>
      </c>
      <c r="M29" s="38" t="str">
        <f aca="false">IF($AB29="","",INDEX(Lib_Cover,$AB29))</f>
        <v/>
      </c>
      <c r="N29" s="11"/>
      <c r="O29" s="39" t="n">
        <f aca="false">IF($I29=0,0,IF($AF29="Y",$I29*$J29/IF(N($D29)&lt;1,1,$D29),$I29*$J29))</f>
        <v>0</v>
      </c>
      <c r="P29" s="11"/>
      <c r="Q29" s="39" t="n">
        <f aca="false">IF(AND($I29&gt;0,$AF29="Y",IF(N($D29)&lt;1,1,$D29)&gt;=2),$I29*$J29/IF(N($D29)&lt;1,1,$D29),0)</f>
        <v>0</v>
      </c>
      <c r="R29" s="11"/>
      <c r="S29" s="39" t="n">
        <f aca="false">IF(AND($I29&gt;0,$AF29="Y",IF(N($D29)&lt;1,1,$D29)&gt;=3),$I29*$J29/IF(N($D29)&lt;1,1,$D29),0)</f>
        <v>0</v>
      </c>
      <c r="T29" s="11"/>
      <c r="U29" s="39" t="n">
        <f aca="false">IF($I29=0,0,$I29*$K29)</f>
        <v>0</v>
      </c>
      <c r="V29" s="11"/>
      <c r="W29" s="39" t="n">
        <f aca="false">IF($I29=0,0,$I29*$L29)</f>
        <v>0</v>
      </c>
      <c r="X29" s="11"/>
      <c r="Y29" s="39" t="n">
        <f aca="false">IF($I29=0,0,$I29*$M29)</f>
        <v>0</v>
      </c>
      <c r="Z29" s="39" t="n">
        <f aca="false">IF($N29="",$O29,0)+IF($P29="",$Q29,0)+IF($R29="",$S29,0)+IF($T29="",$U29,0)+IF($V29="",$W29,0)+IF($X29="",$Y29,0)+IF(AND($AF29="Y",IF(N($D29)&lt;1,1,$D29)&gt;3),$I29*$J29*(IF(N($D29)&lt;1,1,$D29)-3)/IF(N($D29)&lt;1,1,$D29),0)</f>
        <v>0</v>
      </c>
      <c r="AA29" s="40" t="str">
        <f aca="false">IF(AND($C29="",N($F29)=0),"",IF($C29="","⚠ Select a stitch type",IF($AB29="","⚠ Stitch not in library",IF(N($F29)&lt;=0,"⚠ Enter "&amp;IF($G29="pcs","quantity","seam length (cm)"),IF(AND($G29="cm",N($E29)&lt;=0),"⚠ Enter SPI",IF($H29=0,"⚠ No factor at SPI "&amp;$E29&amp;" – valid "&amp;INDEX(Lib_MinSPI,$AB29)&amp;"–"&amp;INDEX(Lib_MaxSPI,$AB29),IF(AND($AF29="Y",IF(N($D29)&lt;1,1,$D29)&gt;3),"⚠ More than 3 rows – thread for extra rows not allocated",IF($Z29&gt;0.00001,"⚠ Assign threads ("&amp;TEXT($Z29,"0.00")&amp;" m unassigned)","✔ OK"))))))))</f>
        <v/>
      </c>
      <c r="AB29" s="16" t="str">
        <f aca="false">IF($C29="","",IFERROR(MATCH($C29,Lib_Names,0),""))</f>
        <v/>
      </c>
      <c r="AC29" s="41" t="str">
        <f aca="false">IF($AB29="","",IF(INDEX(Lib_Basis,$AB29)="Piece",1,N($E29)))</f>
        <v/>
      </c>
      <c r="AD29" s="16" t="str">
        <f aca="false">IF($AC29="","",INT($AC29))</f>
        <v/>
      </c>
      <c r="AE29" s="17" t="str">
        <f aca="false">IF($AC29="","",$AC29-$AD29)</f>
        <v/>
      </c>
      <c r="AF29" s="35" t="str">
        <f aca="false">IF($AB29="","",INDEX(Lib_Multi,$AB29))</f>
        <v/>
      </c>
      <c r="AG29" s="42" t="str">
        <f aca="false">IF($AB29="","",INDEX(Lib_Cat,$AB29))</f>
        <v/>
      </c>
      <c r="AH29" s="39" t="n">
        <f aca="false">IF(N($F29)&lt;=0,0,$F29/100*IF(OR($AB29="",$AC29="",N($AC29)&lt;1,N($AC29)&gt;24),0,IF($AE29=0,INDEX(Engine_Grid,0+$AB29,$AD29),IF(OR($AD29&gt;=24,INDEX(Engine_Grid,0+$AB29,$AD29)=0,INDEX(Engine_Grid,0+$AB29,$AD29+1)=0),0,INDEX(Engine_Grid,0+$AB29,$AD29)*(1-$AE29)+INDEX(Engine_Grid,0+$AB29,$AD29+1)*$AE29)))*IF(N($D29)&lt;1,1,$D29))</f>
        <v>0</v>
      </c>
      <c r="AI29" s="39" t="n">
        <f aca="false">IF(N($F29)&lt;=0,0,$F29/100*IF(OR($AB29="",$AC29="",N($AC29)&lt;1,N($AC29)&gt;24),0,IF($AE29=0,INDEX(Engine_Grid,75+$AB29,$AD29),IF(OR($AD29&gt;=24,INDEX(Engine_Grid,75+$AB29,$AD29)=0,INDEX(Engine_Grid,75+$AB29,$AD29+1)=0),0,INDEX(Engine_Grid,75+$AB29,$AD29)*(1-$AE29)+INDEX(Engine_Grid,75+$AB29,$AD29+1)*$AE29)))*IF(N($D29)&lt;1,1,$D29))</f>
        <v>0</v>
      </c>
      <c r="AJ29" s="39" t="n">
        <f aca="false">IF(N($F29)&lt;=0,0,$F29/100*IF(OR($AB29="",$AC29="",N($AC29)&lt;1,N($AC29)&gt;24),0,IF($AE29=0,INDEX(Engine_Grid,150+$AB29,$AD29),IF(OR($AD29&gt;=24,INDEX(Engine_Grid,150+$AB29,$AD29)=0,INDEX(Engine_Grid,150+$AB29,$AD29+1)=0),0,INDEX(Engine_Grid,150+$AB29,$AD29)*(1-$AE29)+INDEX(Engine_Grid,150+$AB29,$AD29+1)*$AE29)))*IF(N($D29)&lt;1,1,$D29))</f>
        <v>0</v>
      </c>
      <c r="AK29" s="39" t="n">
        <f aca="false">IF(N($F29)&lt;=0,0,$F29/100*IF(OR($AB29="",$AC29="",N($AC29)&lt;1,N($AC29)&gt;24),0,IF($AE29=0,INDEX(Engine_Grid,225+$AB29,$AD29),IF(OR($AD29&gt;=24,INDEX(Engine_Grid,225+$AB29,$AD29)=0,INDEX(Engine_Grid,225+$AB29,$AD29+1)=0),0,INDEX(Engine_Grid,225+$AB29,$AD29)*(1-$AE29)+INDEX(Engine_Grid,225+$AB29,$AD29+1)*$AE29)))*IF(N($D29)&lt;1,1,$D29))</f>
        <v>0</v>
      </c>
    </row>
    <row r="30" customFormat="false" ht="15" hidden="false" customHeight="false" outlineLevel="0" collapsed="false">
      <c r="A30" s="31" t="n">
        <v>21</v>
      </c>
      <c r="B30" s="11"/>
      <c r="C30" s="11"/>
      <c r="D30" s="32"/>
      <c r="E30" s="33"/>
      <c r="F30" s="34"/>
      <c r="G30" s="35" t="str">
        <f aca="false">IF($AB30="","",IF(INDEX(Lib_Basis,$AB30)="Piece","pcs","cm"))</f>
        <v/>
      </c>
      <c r="H30" s="36" t="n">
        <f aca="false">IF(OR($AB30="",$AC30="",N($AC30)&lt;1,N($AC30)&gt;24),0,IF($AE30=0,INDEX(Engine_Grid,(WeightIdx-1)*75+$AB30,$AD30),IF(OR($AD30&gt;=24,INDEX(Engine_Grid,(WeightIdx-1)*75+$AB30,$AD30)=0,INDEX(Engine_Grid,(WeightIdx-1)*75+$AB30,$AD30+1)=0),0,INDEX(Engine_Grid,(WeightIdx-1)*75+$AB30,$AD30)*(1-$AE30)+INDEX(Engine_Grid,(WeightIdx-1)*75+$AB30,$AD30+1)*$AE30)))</f>
        <v>0</v>
      </c>
      <c r="I30" s="37" t="n">
        <f aca="false">IF(OR($H30=0,N($F30)&lt;=0),0,$F30/100*$H30*IF(N($D30)&lt;1,1,$D30))</f>
        <v>0</v>
      </c>
      <c r="J30" s="38" t="str">
        <f aca="false">IF($AB30="","",INDEX(Lib_Needle,$AB30))</f>
        <v/>
      </c>
      <c r="K30" s="38" t="str">
        <f aca="false">IF($AB30="","",INDEX(Lib_Bobbin,$AB30))</f>
        <v/>
      </c>
      <c r="L30" s="38" t="str">
        <f aca="false">IF($AB30="","",INDEX(Lib_Looper,$AB30))</f>
        <v/>
      </c>
      <c r="M30" s="38" t="str">
        <f aca="false">IF($AB30="","",INDEX(Lib_Cover,$AB30))</f>
        <v/>
      </c>
      <c r="N30" s="11"/>
      <c r="O30" s="39" t="n">
        <f aca="false">IF($I30=0,0,IF($AF30="Y",$I30*$J30/IF(N($D30)&lt;1,1,$D30),$I30*$J30))</f>
        <v>0</v>
      </c>
      <c r="P30" s="11"/>
      <c r="Q30" s="39" t="n">
        <f aca="false">IF(AND($I30&gt;0,$AF30="Y",IF(N($D30)&lt;1,1,$D30)&gt;=2),$I30*$J30/IF(N($D30)&lt;1,1,$D30),0)</f>
        <v>0</v>
      </c>
      <c r="R30" s="11"/>
      <c r="S30" s="39" t="n">
        <f aca="false">IF(AND($I30&gt;0,$AF30="Y",IF(N($D30)&lt;1,1,$D30)&gt;=3),$I30*$J30/IF(N($D30)&lt;1,1,$D30),0)</f>
        <v>0</v>
      </c>
      <c r="T30" s="11"/>
      <c r="U30" s="39" t="n">
        <f aca="false">IF($I30=0,0,$I30*$K30)</f>
        <v>0</v>
      </c>
      <c r="V30" s="11"/>
      <c r="W30" s="39" t="n">
        <f aca="false">IF($I30=0,0,$I30*$L30)</f>
        <v>0</v>
      </c>
      <c r="X30" s="11"/>
      <c r="Y30" s="39" t="n">
        <f aca="false">IF($I30=0,0,$I30*$M30)</f>
        <v>0</v>
      </c>
      <c r="Z30" s="39" t="n">
        <f aca="false">IF($N30="",$O30,0)+IF($P30="",$Q30,0)+IF($R30="",$S30,0)+IF($T30="",$U30,0)+IF($V30="",$W30,0)+IF($X30="",$Y30,0)+IF(AND($AF30="Y",IF(N($D30)&lt;1,1,$D30)&gt;3),$I30*$J30*(IF(N($D30)&lt;1,1,$D30)-3)/IF(N($D30)&lt;1,1,$D30),0)</f>
        <v>0</v>
      </c>
      <c r="AA30" s="40" t="str">
        <f aca="false">IF(AND($C30="",N($F30)=0),"",IF($C30="","⚠ Select a stitch type",IF($AB30="","⚠ Stitch not in library",IF(N($F30)&lt;=0,"⚠ Enter "&amp;IF($G30="pcs","quantity","seam length (cm)"),IF(AND($G30="cm",N($E30)&lt;=0),"⚠ Enter SPI",IF($H30=0,"⚠ No factor at SPI "&amp;$E30&amp;" – valid "&amp;INDEX(Lib_MinSPI,$AB30)&amp;"–"&amp;INDEX(Lib_MaxSPI,$AB30),IF(AND($AF30="Y",IF(N($D30)&lt;1,1,$D30)&gt;3),"⚠ More than 3 rows – thread for extra rows not allocated",IF($Z30&gt;0.00001,"⚠ Assign threads ("&amp;TEXT($Z30,"0.00")&amp;" m unassigned)","✔ OK"))))))))</f>
        <v/>
      </c>
      <c r="AB30" s="16" t="str">
        <f aca="false">IF($C30="","",IFERROR(MATCH($C30,Lib_Names,0),""))</f>
        <v/>
      </c>
      <c r="AC30" s="41" t="str">
        <f aca="false">IF($AB30="","",IF(INDEX(Lib_Basis,$AB30)="Piece",1,N($E30)))</f>
        <v/>
      </c>
      <c r="AD30" s="16" t="str">
        <f aca="false">IF($AC30="","",INT($AC30))</f>
        <v/>
      </c>
      <c r="AE30" s="17" t="str">
        <f aca="false">IF($AC30="","",$AC30-$AD30)</f>
        <v/>
      </c>
      <c r="AF30" s="35" t="str">
        <f aca="false">IF($AB30="","",INDEX(Lib_Multi,$AB30))</f>
        <v/>
      </c>
      <c r="AG30" s="42" t="str">
        <f aca="false">IF($AB30="","",INDEX(Lib_Cat,$AB30))</f>
        <v/>
      </c>
      <c r="AH30" s="39" t="n">
        <f aca="false">IF(N($F30)&lt;=0,0,$F30/100*IF(OR($AB30="",$AC30="",N($AC30)&lt;1,N($AC30)&gt;24),0,IF($AE30=0,INDEX(Engine_Grid,0+$AB30,$AD30),IF(OR($AD30&gt;=24,INDEX(Engine_Grid,0+$AB30,$AD30)=0,INDEX(Engine_Grid,0+$AB30,$AD30+1)=0),0,INDEX(Engine_Grid,0+$AB30,$AD30)*(1-$AE30)+INDEX(Engine_Grid,0+$AB30,$AD30+1)*$AE30)))*IF(N($D30)&lt;1,1,$D30))</f>
        <v>0</v>
      </c>
      <c r="AI30" s="39" t="n">
        <f aca="false">IF(N($F30)&lt;=0,0,$F30/100*IF(OR($AB30="",$AC30="",N($AC30)&lt;1,N($AC30)&gt;24),0,IF($AE30=0,INDEX(Engine_Grid,75+$AB30,$AD30),IF(OR($AD30&gt;=24,INDEX(Engine_Grid,75+$AB30,$AD30)=0,INDEX(Engine_Grid,75+$AB30,$AD30+1)=0),0,INDEX(Engine_Grid,75+$AB30,$AD30)*(1-$AE30)+INDEX(Engine_Grid,75+$AB30,$AD30+1)*$AE30)))*IF(N($D30)&lt;1,1,$D30))</f>
        <v>0</v>
      </c>
      <c r="AJ30" s="39" t="n">
        <f aca="false">IF(N($F30)&lt;=0,0,$F30/100*IF(OR($AB30="",$AC30="",N($AC30)&lt;1,N($AC30)&gt;24),0,IF($AE30=0,INDEX(Engine_Grid,150+$AB30,$AD30),IF(OR($AD30&gt;=24,INDEX(Engine_Grid,150+$AB30,$AD30)=0,INDEX(Engine_Grid,150+$AB30,$AD30+1)=0),0,INDEX(Engine_Grid,150+$AB30,$AD30)*(1-$AE30)+INDEX(Engine_Grid,150+$AB30,$AD30+1)*$AE30)))*IF(N($D30)&lt;1,1,$D30))</f>
        <v>0</v>
      </c>
      <c r="AK30" s="39" t="n">
        <f aca="false">IF(N($F30)&lt;=0,0,$F30/100*IF(OR($AB30="",$AC30="",N($AC30)&lt;1,N($AC30)&gt;24),0,IF($AE30=0,INDEX(Engine_Grid,225+$AB30,$AD30),IF(OR($AD30&gt;=24,INDEX(Engine_Grid,225+$AB30,$AD30)=0,INDEX(Engine_Grid,225+$AB30,$AD30+1)=0),0,INDEX(Engine_Grid,225+$AB30,$AD30)*(1-$AE30)+INDEX(Engine_Grid,225+$AB30,$AD30+1)*$AE30)))*IF(N($D30)&lt;1,1,$D30))</f>
        <v>0</v>
      </c>
    </row>
    <row r="31" customFormat="false" ht="15" hidden="false" customHeight="false" outlineLevel="0" collapsed="false">
      <c r="A31" s="31" t="n">
        <v>22</v>
      </c>
      <c r="B31" s="11"/>
      <c r="C31" s="11"/>
      <c r="D31" s="32"/>
      <c r="E31" s="33"/>
      <c r="F31" s="34"/>
      <c r="G31" s="35" t="str">
        <f aca="false">IF($AB31="","",IF(INDEX(Lib_Basis,$AB31)="Piece","pcs","cm"))</f>
        <v/>
      </c>
      <c r="H31" s="36" t="n">
        <f aca="false">IF(OR($AB31="",$AC31="",N($AC31)&lt;1,N($AC31)&gt;24),0,IF($AE31=0,INDEX(Engine_Grid,(WeightIdx-1)*75+$AB31,$AD31),IF(OR($AD31&gt;=24,INDEX(Engine_Grid,(WeightIdx-1)*75+$AB31,$AD31)=0,INDEX(Engine_Grid,(WeightIdx-1)*75+$AB31,$AD31+1)=0),0,INDEX(Engine_Grid,(WeightIdx-1)*75+$AB31,$AD31)*(1-$AE31)+INDEX(Engine_Grid,(WeightIdx-1)*75+$AB31,$AD31+1)*$AE31)))</f>
        <v>0</v>
      </c>
      <c r="I31" s="37" t="n">
        <f aca="false">IF(OR($H31=0,N($F31)&lt;=0),0,$F31/100*$H31*IF(N($D31)&lt;1,1,$D31))</f>
        <v>0</v>
      </c>
      <c r="J31" s="38" t="str">
        <f aca="false">IF($AB31="","",INDEX(Lib_Needle,$AB31))</f>
        <v/>
      </c>
      <c r="K31" s="38" t="str">
        <f aca="false">IF($AB31="","",INDEX(Lib_Bobbin,$AB31))</f>
        <v/>
      </c>
      <c r="L31" s="38" t="str">
        <f aca="false">IF($AB31="","",INDEX(Lib_Looper,$AB31))</f>
        <v/>
      </c>
      <c r="M31" s="38" t="str">
        <f aca="false">IF($AB31="","",INDEX(Lib_Cover,$AB31))</f>
        <v/>
      </c>
      <c r="N31" s="11"/>
      <c r="O31" s="39" t="n">
        <f aca="false">IF($I31=0,0,IF($AF31="Y",$I31*$J31/IF(N($D31)&lt;1,1,$D31),$I31*$J31))</f>
        <v>0</v>
      </c>
      <c r="P31" s="11"/>
      <c r="Q31" s="39" t="n">
        <f aca="false">IF(AND($I31&gt;0,$AF31="Y",IF(N($D31)&lt;1,1,$D31)&gt;=2),$I31*$J31/IF(N($D31)&lt;1,1,$D31),0)</f>
        <v>0</v>
      </c>
      <c r="R31" s="11"/>
      <c r="S31" s="39" t="n">
        <f aca="false">IF(AND($I31&gt;0,$AF31="Y",IF(N($D31)&lt;1,1,$D31)&gt;=3),$I31*$J31/IF(N($D31)&lt;1,1,$D31),0)</f>
        <v>0</v>
      </c>
      <c r="T31" s="11"/>
      <c r="U31" s="39" t="n">
        <f aca="false">IF($I31=0,0,$I31*$K31)</f>
        <v>0</v>
      </c>
      <c r="V31" s="11"/>
      <c r="W31" s="39" t="n">
        <f aca="false">IF($I31=0,0,$I31*$L31)</f>
        <v>0</v>
      </c>
      <c r="X31" s="11"/>
      <c r="Y31" s="39" t="n">
        <f aca="false">IF($I31=0,0,$I31*$M31)</f>
        <v>0</v>
      </c>
      <c r="Z31" s="39" t="n">
        <f aca="false">IF($N31="",$O31,0)+IF($P31="",$Q31,0)+IF($R31="",$S31,0)+IF($T31="",$U31,0)+IF($V31="",$W31,0)+IF($X31="",$Y31,0)+IF(AND($AF31="Y",IF(N($D31)&lt;1,1,$D31)&gt;3),$I31*$J31*(IF(N($D31)&lt;1,1,$D31)-3)/IF(N($D31)&lt;1,1,$D31),0)</f>
        <v>0</v>
      </c>
      <c r="AA31" s="40" t="str">
        <f aca="false">IF(AND($C31="",N($F31)=0),"",IF($C31="","⚠ Select a stitch type",IF($AB31="","⚠ Stitch not in library",IF(N($F31)&lt;=0,"⚠ Enter "&amp;IF($G31="pcs","quantity","seam length (cm)"),IF(AND($G31="cm",N($E31)&lt;=0),"⚠ Enter SPI",IF($H31=0,"⚠ No factor at SPI "&amp;$E31&amp;" – valid "&amp;INDEX(Lib_MinSPI,$AB31)&amp;"–"&amp;INDEX(Lib_MaxSPI,$AB31),IF(AND($AF31="Y",IF(N($D31)&lt;1,1,$D31)&gt;3),"⚠ More than 3 rows – thread for extra rows not allocated",IF($Z31&gt;0.00001,"⚠ Assign threads ("&amp;TEXT($Z31,"0.00")&amp;" m unassigned)","✔ OK"))))))))</f>
        <v/>
      </c>
      <c r="AB31" s="16" t="str">
        <f aca="false">IF($C31="","",IFERROR(MATCH($C31,Lib_Names,0),""))</f>
        <v/>
      </c>
      <c r="AC31" s="41" t="str">
        <f aca="false">IF($AB31="","",IF(INDEX(Lib_Basis,$AB31)="Piece",1,N($E31)))</f>
        <v/>
      </c>
      <c r="AD31" s="16" t="str">
        <f aca="false">IF($AC31="","",INT($AC31))</f>
        <v/>
      </c>
      <c r="AE31" s="17" t="str">
        <f aca="false">IF($AC31="","",$AC31-$AD31)</f>
        <v/>
      </c>
      <c r="AF31" s="35" t="str">
        <f aca="false">IF($AB31="","",INDEX(Lib_Multi,$AB31))</f>
        <v/>
      </c>
      <c r="AG31" s="42" t="str">
        <f aca="false">IF($AB31="","",INDEX(Lib_Cat,$AB31))</f>
        <v/>
      </c>
      <c r="AH31" s="39" t="n">
        <f aca="false">IF(N($F31)&lt;=0,0,$F31/100*IF(OR($AB31="",$AC31="",N($AC31)&lt;1,N($AC31)&gt;24),0,IF($AE31=0,INDEX(Engine_Grid,0+$AB31,$AD31),IF(OR($AD31&gt;=24,INDEX(Engine_Grid,0+$AB31,$AD31)=0,INDEX(Engine_Grid,0+$AB31,$AD31+1)=0),0,INDEX(Engine_Grid,0+$AB31,$AD31)*(1-$AE31)+INDEX(Engine_Grid,0+$AB31,$AD31+1)*$AE31)))*IF(N($D31)&lt;1,1,$D31))</f>
        <v>0</v>
      </c>
      <c r="AI31" s="39" t="n">
        <f aca="false">IF(N($F31)&lt;=0,0,$F31/100*IF(OR($AB31="",$AC31="",N($AC31)&lt;1,N($AC31)&gt;24),0,IF($AE31=0,INDEX(Engine_Grid,75+$AB31,$AD31),IF(OR($AD31&gt;=24,INDEX(Engine_Grid,75+$AB31,$AD31)=0,INDEX(Engine_Grid,75+$AB31,$AD31+1)=0),0,INDEX(Engine_Grid,75+$AB31,$AD31)*(1-$AE31)+INDEX(Engine_Grid,75+$AB31,$AD31+1)*$AE31)))*IF(N($D31)&lt;1,1,$D31))</f>
        <v>0</v>
      </c>
      <c r="AJ31" s="39" t="n">
        <f aca="false">IF(N($F31)&lt;=0,0,$F31/100*IF(OR($AB31="",$AC31="",N($AC31)&lt;1,N($AC31)&gt;24),0,IF($AE31=0,INDEX(Engine_Grid,150+$AB31,$AD31),IF(OR($AD31&gt;=24,INDEX(Engine_Grid,150+$AB31,$AD31)=0,INDEX(Engine_Grid,150+$AB31,$AD31+1)=0),0,INDEX(Engine_Grid,150+$AB31,$AD31)*(1-$AE31)+INDEX(Engine_Grid,150+$AB31,$AD31+1)*$AE31)))*IF(N($D31)&lt;1,1,$D31))</f>
        <v>0</v>
      </c>
      <c r="AK31" s="39" t="n">
        <f aca="false">IF(N($F31)&lt;=0,0,$F31/100*IF(OR($AB31="",$AC31="",N($AC31)&lt;1,N($AC31)&gt;24),0,IF($AE31=0,INDEX(Engine_Grid,225+$AB31,$AD31),IF(OR($AD31&gt;=24,INDEX(Engine_Grid,225+$AB31,$AD31)=0,INDEX(Engine_Grid,225+$AB31,$AD31+1)=0),0,INDEX(Engine_Grid,225+$AB31,$AD31)*(1-$AE31)+INDEX(Engine_Grid,225+$AB31,$AD31+1)*$AE31)))*IF(N($D31)&lt;1,1,$D31))</f>
        <v>0</v>
      </c>
    </row>
    <row r="32" customFormat="false" ht="15" hidden="false" customHeight="false" outlineLevel="0" collapsed="false">
      <c r="A32" s="31" t="n">
        <v>23</v>
      </c>
      <c r="B32" s="11"/>
      <c r="C32" s="11"/>
      <c r="D32" s="32"/>
      <c r="E32" s="33"/>
      <c r="F32" s="34"/>
      <c r="G32" s="35" t="str">
        <f aca="false">IF($AB32="","",IF(INDEX(Lib_Basis,$AB32)="Piece","pcs","cm"))</f>
        <v/>
      </c>
      <c r="H32" s="36" t="n">
        <f aca="false">IF(OR($AB32="",$AC32="",N($AC32)&lt;1,N($AC32)&gt;24),0,IF($AE32=0,INDEX(Engine_Grid,(WeightIdx-1)*75+$AB32,$AD32),IF(OR($AD32&gt;=24,INDEX(Engine_Grid,(WeightIdx-1)*75+$AB32,$AD32)=0,INDEX(Engine_Grid,(WeightIdx-1)*75+$AB32,$AD32+1)=0),0,INDEX(Engine_Grid,(WeightIdx-1)*75+$AB32,$AD32)*(1-$AE32)+INDEX(Engine_Grid,(WeightIdx-1)*75+$AB32,$AD32+1)*$AE32)))</f>
        <v>0</v>
      </c>
      <c r="I32" s="37" t="n">
        <f aca="false">IF(OR($H32=0,N($F32)&lt;=0),0,$F32/100*$H32*IF(N($D32)&lt;1,1,$D32))</f>
        <v>0</v>
      </c>
      <c r="J32" s="38" t="str">
        <f aca="false">IF($AB32="","",INDEX(Lib_Needle,$AB32))</f>
        <v/>
      </c>
      <c r="K32" s="38" t="str">
        <f aca="false">IF($AB32="","",INDEX(Lib_Bobbin,$AB32))</f>
        <v/>
      </c>
      <c r="L32" s="38" t="str">
        <f aca="false">IF($AB32="","",INDEX(Lib_Looper,$AB32))</f>
        <v/>
      </c>
      <c r="M32" s="38" t="str">
        <f aca="false">IF($AB32="","",INDEX(Lib_Cover,$AB32))</f>
        <v/>
      </c>
      <c r="N32" s="11"/>
      <c r="O32" s="39" t="n">
        <f aca="false">IF($I32=0,0,IF($AF32="Y",$I32*$J32/IF(N($D32)&lt;1,1,$D32),$I32*$J32))</f>
        <v>0</v>
      </c>
      <c r="P32" s="11"/>
      <c r="Q32" s="39" t="n">
        <f aca="false">IF(AND($I32&gt;0,$AF32="Y",IF(N($D32)&lt;1,1,$D32)&gt;=2),$I32*$J32/IF(N($D32)&lt;1,1,$D32),0)</f>
        <v>0</v>
      </c>
      <c r="R32" s="11"/>
      <c r="S32" s="39" t="n">
        <f aca="false">IF(AND($I32&gt;0,$AF32="Y",IF(N($D32)&lt;1,1,$D32)&gt;=3),$I32*$J32/IF(N($D32)&lt;1,1,$D32),0)</f>
        <v>0</v>
      </c>
      <c r="T32" s="11"/>
      <c r="U32" s="39" t="n">
        <f aca="false">IF($I32=0,0,$I32*$K32)</f>
        <v>0</v>
      </c>
      <c r="V32" s="11"/>
      <c r="W32" s="39" t="n">
        <f aca="false">IF($I32=0,0,$I32*$L32)</f>
        <v>0</v>
      </c>
      <c r="X32" s="11"/>
      <c r="Y32" s="39" t="n">
        <f aca="false">IF($I32=0,0,$I32*$M32)</f>
        <v>0</v>
      </c>
      <c r="Z32" s="39" t="n">
        <f aca="false">IF($N32="",$O32,0)+IF($P32="",$Q32,0)+IF($R32="",$S32,0)+IF($T32="",$U32,0)+IF($V32="",$W32,0)+IF($X32="",$Y32,0)+IF(AND($AF32="Y",IF(N($D32)&lt;1,1,$D32)&gt;3),$I32*$J32*(IF(N($D32)&lt;1,1,$D32)-3)/IF(N($D32)&lt;1,1,$D32),0)</f>
        <v>0</v>
      </c>
      <c r="AA32" s="40" t="str">
        <f aca="false">IF(AND($C32="",N($F32)=0),"",IF($C32="","⚠ Select a stitch type",IF($AB32="","⚠ Stitch not in library",IF(N($F32)&lt;=0,"⚠ Enter "&amp;IF($G32="pcs","quantity","seam length (cm)"),IF(AND($G32="cm",N($E32)&lt;=0),"⚠ Enter SPI",IF($H32=0,"⚠ No factor at SPI "&amp;$E32&amp;" – valid "&amp;INDEX(Lib_MinSPI,$AB32)&amp;"–"&amp;INDEX(Lib_MaxSPI,$AB32),IF(AND($AF32="Y",IF(N($D32)&lt;1,1,$D32)&gt;3),"⚠ More than 3 rows – thread for extra rows not allocated",IF($Z32&gt;0.00001,"⚠ Assign threads ("&amp;TEXT($Z32,"0.00")&amp;" m unassigned)","✔ OK"))))))))</f>
        <v/>
      </c>
      <c r="AB32" s="16" t="str">
        <f aca="false">IF($C32="","",IFERROR(MATCH($C32,Lib_Names,0),""))</f>
        <v/>
      </c>
      <c r="AC32" s="41" t="str">
        <f aca="false">IF($AB32="","",IF(INDEX(Lib_Basis,$AB32)="Piece",1,N($E32)))</f>
        <v/>
      </c>
      <c r="AD32" s="16" t="str">
        <f aca="false">IF($AC32="","",INT($AC32))</f>
        <v/>
      </c>
      <c r="AE32" s="17" t="str">
        <f aca="false">IF($AC32="","",$AC32-$AD32)</f>
        <v/>
      </c>
      <c r="AF32" s="35" t="str">
        <f aca="false">IF($AB32="","",INDEX(Lib_Multi,$AB32))</f>
        <v/>
      </c>
      <c r="AG32" s="42" t="str">
        <f aca="false">IF($AB32="","",INDEX(Lib_Cat,$AB32))</f>
        <v/>
      </c>
      <c r="AH32" s="39" t="n">
        <f aca="false">IF(N($F32)&lt;=0,0,$F32/100*IF(OR($AB32="",$AC32="",N($AC32)&lt;1,N($AC32)&gt;24),0,IF($AE32=0,INDEX(Engine_Grid,0+$AB32,$AD32),IF(OR($AD32&gt;=24,INDEX(Engine_Grid,0+$AB32,$AD32)=0,INDEX(Engine_Grid,0+$AB32,$AD32+1)=0),0,INDEX(Engine_Grid,0+$AB32,$AD32)*(1-$AE32)+INDEX(Engine_Grid,0+$AB32,$AD32+1)*$AE32)))*IF(N($D32)&lt;1,1,$D32))</f>
        <v>0</v>
      </c>
      <c r="AI32" s="39" t="n">
        <f aca="false">IF(N($F32)&lt;=0,0,$F32/100*IF(OR($AB32="",$AC32="",N($AC32)&lt;1,N($AC32)&gt;24),0,IF($AE32=0,INDEX(Engine_Grid,75+$AB32,$AD32),IF(OR($AD32&gt;=24,INDEX(Engine_Grid,75+$AB32,$AD32)=0,INDEX(Engine_Grid,75+$AB32,$AD32+1)=0),0,INDEX(Engine_Grid,75+$AB32,$AD32)*(1-$AE32)+INDEX(Engine_Grid,75+$AB32,$AD32+1)*$AE32)))*IF(N($D32)&lt;1,1,$D32))</f>
        <v>0</v>
      </c>
      <c r="AJ32" s="39" t="n">
        <f aca="false">IF(N($F32)&lt;=0,0,$F32/100*IF(OR($AB32="",$AC32="",N($AC32)&lt;1,N($AC32)&gt;24),0,IF($AE32=0,INDEX(Engine_Grid,150+$AB32,$AD32),IF(OR($AD32&gt;=24,INDEX(Engine_Grid,150+$AB32,$AD32)=0,INDEX(Engine_Grid,150+$AB32,$AD32+1)=0),0,INDEX(Engine_Grid,150+$AB32,$AD32)*(1-$AE32)+INDEX(Engine_Grid,150+$AB32,$AD32+1)*$AE32)))*IF(N($D32)&lt;1,1,$D32))</f>
        <v>0</v>
      </c>
      <c r="AK32" s="39" t="n">
        <f aca="false">IF(N($F32)&lt;=0,0,$F32/100*IF(OR($AB32="",$AC32="",N($AC32)&lt;1,N($AC32)&gt;24),0,IF($AE32=0,INDEX(Engine_Grid,225+$AB32,$AD32),IF(OR($AD32&gt;=24,INDEX(Engine_Grid,225+$AB32,$AD32)=0,INDEX(Engine_Grid,225+$AB32,$AD32+1)=0),0,INDEX(Engine_Grid,225+$AB32,$AD32)*(1-$AE32)+INDEX(Engine_Grid,225+$AB32,$AD32+1)*$AE32)))*IF(N($D32)&lt;1,1,$D32))</f>
        <v>0</v>
      </c>
    </row>
    <row r="33" customFormat="false" ht="15" hidden="false" customHeight="false" outlineLevel="0" collapsed="false">
      <c r="A33" s="31" t="n">
        <v>24</v>
      </c>
      <c r="B33" s="11"/>
      <c r="C33" s="11"/>
      <c r="D33" s="32"/>
      <c r="E33" s="33"/>
      <c r="F33" s="34"/>
      <c r="G33" s="35" t="str">
        <f aca="false">IF($AB33="","",IF(INDEX(Lib_Basis,$AB33)="Piece","pcs","cm"))</f>
        <v/>
      </c>
      <c r="H33" s="36" t="n">
        <f aca="false">IF(OR($AB33="",$AC33="",N($AC33)&lt;1,N($AC33)&gt;24),0,IF($AE33=0,INDEX(Engine_Grid,(WeightIdx-1)*75+$AB33,$AD33),IF(OR($AD33&gt;=24,INDEX(Engine_Grid,(WeightIdx-1)*75+$AB33,$AD33)=0,INDEX(Engine_Grid,(WeightIdx-1)*75+$AB33,$AD33+1)=0),0,INDEX(Engine_Grid,(WeightIdx-1)*75+$AB33,$AD33)*(1-$AE33)+INDEX(Engine_Grid,(WeightIdx-1)*75+$AB33,$AD33+1)*$AE33)))</f>
        <v>0</v>
      </c>
      <c r="I33" s="37" t="n">
        <f aca="false">IF(OR($H33=0,N($F33)&lt;=0),0,$F33/100*$H33*IF(N($D33)&lt;1,1,$D33))</f>
        <v>0</v>
      </c>
      <c r="J33" s="38" t="str">
        <f aca="false">IF($AB33="","",INDEX(Lib_Needle,$AB33))</f>
        <v/>
      </c>
      <c r="K33" s="38" t="str">
        <f aca="false">IF($AB33="","",INDEX(Lib_Bobbin,$AB33))</f>
        <v/>
      </c>
      <c r="L33" s="38" t="str">
        <f aca="false">IF($AB33="","",INDEX(Lib_Looper,$AB33))</f>
        <v/>
      </c>
      <c r="M33" s="38" t="str">
        <f aca="false">IF($AB33="","",INDEX(Lib_Cover,$AB33))</f>
        <v/>
      </c>
      <c r="N33" s="11"/>
      <c r="O33" s="39" t="n">
        <f aca="false">IF($I33=0,0,IF($AF33="Y",$I33*$J33/IF(N($D33)&lt;1,1,$D33),$I33*$J33))</f>
        <v>0</v>
      </c>
      <c r="P33" s="11"/>
      <c r="Q33" s="39" t="n">
        <f aca="false">IF(AND($I33&gt;0,$AF33="Y",IF(N($D33)&lt;1,1,$D33)&gt;=2),$I33*$J33/IF(N($D33)&lt;1,1,$D33),0)</f>
        <v>0</v>
      </c>
      <c r="R33" s="11"/>
      <c r="S33" s="39" t="n">
        <f aca="false">IF(AND($I33&gt;0,$AF33="Y",IF(N($D33)&lt;1,1,$D33)&gt;=3),$I33*$J33/IF(N($D33)&lt;1,1,$D33),0)</f>
        <v>0</v>
      </c>
      <c r="T33" s="11"/>
      <c r="U33" s="39" t="n">
        <f aca="false">IF($I33=0,0,$I33*$K33)</f>
        <v>0</v>
      </c>
      <c r="V33" s="11"/>
      <c r="W33" s="39" t="n">
        <f aca="false">IF($I33=0,0,$I33*$L33)</f>
        <v>0</v>
      </c>
      <c r="X33" s="11"/>
      <c r="Y33" s="39" t="n">
        <f aca="false">IF($I33=0,0,$I33*$M33)</f>
        <v>0</v>
      </c>
      <c r="Z33" s="39" t="n">
        <f aca="false">IF($N33="",$O33,0)+IF($P33="",$Q33,0)+IF($R33="",$S33,0)+IF($T33="",$U33,0)+IF($V33="",$W33,0)+IF($X33="",$Y33,0)+IF(AND($AF33="Y",IF(N($D33)&lt;1,1,$D33)&gt;3),$I33*$J33*(IF(N($D33)&lt;1,1,$D33)-3)/IF(N($D33)&lt;1,1,$D33),0)</f>
        <v>0</v>
      </c>
      <c r="AA33" s="40" t="str">
        <f aca="false">IF(AND($C33="",N($F33)=0),"",IF($C33="","⚠ Select a stitch type",IF($AB33="","⚠ Stitch not in library",IF(N($F33)&lt;=0,"⚠ Enter "&amp;IF($G33="pcs","quantity","seam length (cm)"),IF(AND($G33="cm",N($E33)&lt;=0),"⚠ Enter SPI",IF($H33=0,"⚠ No factor at SPI "&amp;$E33&amp;" – valid "&amp;INDEX(Lib_MinSPI,$AB33)&amp;"–"&amp;INDEX(Lib_MaxSPI,$AB33),IF(AND($AF33="Y",IF(N($D33)&lt;1,1,$D33)&gt;3),"⚠ More than 3 rows – thread for extra rows not allocated",IF($Z33&gt;0.00001,"⚠ Assign threads ("&amp;TEXT($Z33,"0.00")&amp;" m unassigned)","✔ OK"))))))))</f>
        <v/>
      </c>
      <c r="AB33" s="16" t="str">
        <f aca="false">IF($C33="","",IFERROR(MATCH($C33,Lib_Names,0),""))</f>
        <v/>
      </c>
      <c r="AC33" s="41" t="str">
        <f aca="false">IF($AB33="","",IF(INDEX(Lib_Basis,$AB33)="Piece",1,N($E33)))</f>
        <v/>
      </c>
      <c r="AD33" s="16" t="str">
        <f aca="false">IF($AC33="","",INT($AC33))</f>
        <v/>
      </c>
      <c r="AE33" s="17" t="str">
        <f aca="false">IF($AC33="","",$AC33-$AD33)</f>
        <v/>
      </c>
      <c r="AF33" s="35" t="str">
        <f aca="false">IF($AB33="","",INDEX(Lib_Multi,$AB33))</f>
        <v/>
      </c>
      <c r="AG33" s="42" t="str">
        <f aca="false">IF($AB33="","",INDEX(Lib_Cat,$AB33))</f>
        <v/>
      </c>
      <c r="AH33" s="39" t="n">
        <f aca="false">IF(N($F33)&lt;=0,0,$F33/100*IF(OR($AB33="",$AC33="",N($AC33)&lt;1,N($AC33)&gt;24),0,IF($AE33=0,INDEX(Engine_Grid,0+$AB33,$AD33),IF(OR($AD33&gt;=24,INDEX(Engine_Grid,0+$AB33,$AD33)=0,INDEX(Engine_Grid,0+$AB33,$AD33+1)=0),0,INDEX(Engine_Grid,0+$AB33,$AD33)*(1-$AE33)+INDEX(Engine_Grid,0+$AB33,$AD33+1)*$AE33)))*IF(N($D33)&lt;1,1,$D33))</f>
        <v>0</v>
      </c>
      <c r="AI33" s="39" t="n">
        <f aca="false">IF(N($F33)&lt;=0,0,$F33/100*IF(OR($AB33="",$AC33="",N($AC33)&lt;1,N($AC33)&gt;24),0,IF($AE33=0,INDEX(Engine_Grid,75+$AB33,$AD33),IF(OR($AD33&gt;=24,INDEX(Engine_Grid,75+$AB33,$AD33)=0,INDEX(Engine_Grid,75+$AB33,$AD33+1)=0),0,INDEX(Engine_Grid,75+$AB33,$AD33)*(1-$AE33)+INDEX(Engine_Grid,75+$AB33,$AD33+1)*$AE33)))*IF(N($D33)&lt;1,1,$D33))</f>
        <v>0</v>
      </c>
      <c r="AJ33" s="39" t="n">
        <f aca="false">IF(N($F33)&lt;=0,0,$F33/100*IF(OR($AB33="",$AC33="",N($AC33)&lt;1,N($AC33)&gt;24),0,IF($AE33=0,INDEX(Engine_Grid,150+$AB33,$AD33),IF(OR($AD33&gt;=24,INDEX(Engine_Grid,150+$AB33,$AD33)=0,INDEX(Engine_Grid,150+$AB33,$AD33+1)=0),0,INDEX(Engine_Grid,150+$AB33,$AD33)*(1-$AE33)+INDEX(Engine_Grid,150+$AB33,$AD33+1)*$AE33)))*IF(N($D33)&lt;1,1,$D33))</f>
        <v>0</v>
      </c>
      <c r="AK33" s="39" t="n">
        <f aca="false">IF(N($F33)&lt;=0,0,$F33/100*IF(OR($AB33="",$AC33="",N($AC33)&lt;1,N($AC33)&gt;24),0,IF($AE33=0,INDEX(Engine_Grid,225+$AB33,$AD33),IF(OR($AD33&gt;=24,INDEX(Engine_Grid,225+$AB33,$AD33)=0,INDEX(Engine_Grid,225+$AB33,$AD33+1)=0),0,INDEX(Engine_Grid,225+$AB33,$AD33)*(1-$AE33)+INDEX(Engine_Grid,225+$AB33,$AD33+1)*$AE33)))*IF(N($D33)&lt;1,1,$D33))</f>
        <v>0</v>
      </c>
    </row>
    <row r="34" customFormat="false" ht="15" hidden="false" customHeight="false" outlineLevel="0" collapsed="false">
      <c r="A34" s="31" t="n">
        <v>25</v>
      </c>
      <c r="B34" s="11"/>
      <c r="C34" s="11"/>
      <c r="D34" s="32"/>
      <c r="E34" s="33"/>
      <c r="F34" s="34"/>
      <c r="G34" s="35" t="str">
        <f aca="false">IF($AB34="","",IF(INDEX(Lib_Basis,$AB34)="Piece","pcs","cm"))</f>
        <v/>
      </c>
      <c r="H34" s="36" t="n">
        <f aca="false">IF(OR($AB34="",$AC34="",N($AC34)&lt;1,N($AC34)&gt;24),0,IF($AE34=0,INDEX(Engine_Grid,(WeightIdx-1)*75+$AB34,$AD34),IF(OR($AD34&gt;=24,INDEX(Engine_Grid,(WeightIdx-1)*75+$AB34,$AD34)=0,INDEX(Engine_Grid,(WeightIdx-1)*75+$AB34,$AD34+1)=0),0,INDEX(Engine_Grid,(WeightIdx-1)*75+$AB34,$AD34)*(1-$AE34)+INDEX(Engine_Grid,(WeightIdx-1)*75+$AB34,$AD34+1)*$AE34)))</f>
        <v>0</v>
      </c>
      <c r="I34" s="37" t="n">
        <f aca="false">IF(OR($H34=0,N($F34)&lt;=0),0,$F34/100*$H34*IF(N($D34)&lt;1,1,$D34))</f>
        <v>0</v>
      </c>
      <c r="J34" s="38" t="str">
        <f aca="false">IF($AB34="","",INDEX(Lib_Needle,$AB34))</f>
        <v/>
      </c>
      <c r="K34" s="38" t="str">
        <f aca="false">IF($AB34="","",INDEX(Lib_Bobbin,$AB34))</f>
        <v/>
      </c>
      <c r="L34" s="38" t="str">
        <f aca="false">IF($AB34="","",INDEX(Lib_Looper,$AB34))</f>
        <v/>
      </c>
      <c r="M34" s="38" t="str">
        <f aca="false">IF($AB34="","",INDEX(Lib_Cover,$AB34))</f>
        <v/>
      </c>
      <c r="N34" s="11"/>
      <c r="O34" s="39" t="n">
        <f aca="false">IF($I34=0,0,IF($AF34="Y",$I34*$J34/IF(N($D34)&lt;1,1,$D34),$I34*$J34))</f>
        <v>0</v>
      </c>
      <c r="P34" s="11"/>
      <c r="Q34" s="39" t="n">
        <f aca="false">IF(AND($I34&gt;0,$AF34="Y",IF(N($D34)&lt;1,1,$D34)&gt;=2),$I34*$J34/IF(N($D34)&lt;1,1,$D34),0)</f>
        <v>0</v>
      </c>
      <c r="R34" s="11"/>
      <c r="S34" s="39" t="n">
        <f aca="false">IF(AND($I34&gt;0,$AF34="Y",IF(N($D34)&lt;1,1,$D34)&gt;=3),$I34*$J34/IF(N($D34)&lt;1,1,$D34),0)</f>
        <v>0</v>
      </c>
      <c r="T34" s="11"/>
      <c r="U34" s="39" t="n">
        <f aca="false">IF($I34=0,0,$I34*$K34)</f>
        <v>0</v>
      </c>
      <c r="V34" s="11"/>
      <c r="W34" s="39" t="n">
        <f aca="false">IF($I34=0,0,$I34*$L34)</f>
        <v>0</v>
      </c>
      <c r="X34" s="11"/>
      <c r="Y34" s="39" t="n">
        <f aca="false">IF($I34=0,0,$I34*$M34)</f>
        <v>0</v>
      </c>
      <c r="Z34" s="39" t="n">
        <f aca="false">IF($N34="",$O34,0)+IF($P34="",$Q34,0)+IF($R34="",$S34,0)+IF($T34="",$U34,0)+IF($V34="",$W34,0)+IF($X34="",$Y34,0)+IF(AND($AF34="Y",IF(N($D34)&lt;1,1,$D34)&gt;3),$I34*$J34*(IF(N($D34)&lt;1,1,$D34)-3)/IF(N($D34)&lt;1,1,$D34),0)</f>
        <v>0</v>
      </c>
      <c r="AA34" s="40" t="str">
        <f aca="false">IF(AND($C34="",N($F34)=0),"",IF($C34="","⚠ Select a stitch type",IF($AB34="","⚠ Stitch not in library",IF(N($F34)&lt;=0,"⚠ Enter "&amp;IF($G34="pcs","quantity","seam length (cm)"),IF(AND($G34="cm",N($E34)&lt;=0),"⚠ Enter SPI",IF($H34=0,"⚠ No factor at SPI "&amp;$E34&amp;" – valid "&amp;INDEX(Lib_MinSPI,$AB34)&amp;"–"&amp;INDEX(Lib_MaxSPI,$AB34),IF(AND($AF34="Y",IF(N($D34)&lt;1,1,$D34)&gt;3),"⚠ More than 3 rows – thread for extra rows not allocated",IF($Z34&gt;0.00001,"⚠ Assign threads ("&amp;TEXT($Z34,"0.00")&amp;" m unassigned)","✔ OK"))))))))</f>
        <v/>
      </c>
      <c r="AB34" s="16" t="str">
        <f aca="false">IF($C34="","",IFERROR(MATCH($C34,Lib_Names,0),""))</f>
        <v/>
      </c>
      <c r="AC34" s="41" t="str">
        <f aca="false">IF($AB34="","",IF(INDEX(Lib_Basis,$AB34)="Piece",1,N($E34)))</f>
        <v/>
      </c>
      <c r="AD34" s="16" t="str">
        <f aca="false">IF($AC34="","",INT($AC34))</f>
        <v/>
      </c>
      <c r="AE34" s="17" t="str">
        <f aca="false">IF($AC34="","",$AC34-$AD34)</f>
        <v/>
      </c>
      <c r="AF34" s="35" t="str">
        <f aca="false">IF($AB34="","",INDEX(Lib_Multi,$AB34))</f>
        <v/>
      </c>
      <c r="AG34" s="42" t="str">
        <f aca="false">IF($AB34="","",INDEX(Lib_Cat,$AB34))</f>
        <v/>
      </c>
      <c r="AH34" s="39" t="n">
        <f aca="false">IF(N($F34)&lt;=0,0,$F34/100*IF(OR($AB34="",$AC34="",N($AC34)&lt;1,N($AC34)&gt;24),0,IF($AE34=0,INDEX(Engine_Grid,0+$AB34,$AD34),IF(OR($AD34&gt;=24,INDEX(Engine_Grid,0+$AB34,$AD34)=0,INDEX(Engine_Grid,0+$AB34,$AD34+1)=0),0,INDEX(Engine_Grid,0+$AB34,$AD34)*(1-$AE34)+INDEX(Engine_Grid,0+$AB34,$AD34+1)*$AE34)))*IF(N($D34)&lt;1,1,$D34))</f>
        <v>0</v>
      </c>
      <c r="AI34" s="39" t="n">
        <f aca="false">IF(N($F34)&lt;=0,0,$F34/100*IF(OR($AB34="",$AC34="",N($AC34)&lt;1,N($AC34)&gt;24),0,IF($AE34=0,INDEX(Engine_Grid,75+$AB34,$AD34),IF(OR($AD34&gt;=24,INDEX(Engine_Grid,75+$AB34,$AD34)=0,INDEX(Engine_Grid,75+$AB34,$AD34+1)=0),0,INDEX(Engine_Grid,75+$AB34,$AD34)*(1-$AE34)+INDEX(Engine_Grid,75+$AB34,$AD34+1)*$AE34)))*IF(N($D34)&lt;1,1,$D34))</f>
        <v>0</v>
      </c>
      <c r="AJ34" s="39" t="n">
        <f aca="false">IF(N($F34)&lt;=0,0,$F34/100*IF(OR($AB34="",$AC34="",N($AC34)&lt;1,N($AC34)&gt;24),0,IF($AE34=0,INDEX(Engine_Grid,150+$AB34,$AD34),IF(OR($AD34&gt;=24,INDEX(Engine_Grid,150+$AB34,$AD34)=0,INDEX(Engine_Grid,150+$AB34,$AD34+1)=0),0,INDEX(Engine_Grid,150+$AB34,$AD34)*(1-$AE34)+INDEX(Engine_Grid,150+$AB34,$AD34+1)*$AE34)))*IF(N($D34)&lt;1,1,$D34))</f>
        <v>0</v>
      </c>
      <c r="AK34" s="39" t="n">
        <f aca="false">IF(N($F34)&lt;=0,0,$F34/100*IF(OR($AB34="",$AC34="",N($AC34)&lt;1,N($AC34)&gt;24),0,IF($AE34=0,INDEX(Engine_Grid,225+$AB34,$AD34),IF(OR($AD34&gt;=24,INDEX(Engine_Grid,225+$AB34,$AD34)=0,INDEX(Engine_Grid,225+$AB34,$AD34+1)=0),0,INDEX(Engine_Grid,225+$AB34,$AD34)*(1-$AE34)+INDEX(Engine_Grid,225+$AB34,$AD34+1)*$AE34)))*IF(N($D34)&lt;1,1,$D34))</f>
        <v>0</v>
      </c>
    </row>
    <row r="35" customFormat="false" ht="15" hidden="false" customHeight="false" outlineLevel="0" collapsed="false">
      <c r="A35" s="31" t="n">
        <v>26</v>
      </c>
      <c r="B35" s="11"/>
      <c r="C35" s="11"/>
      <c r="D35" s="32"/>
      <c r="E35" s="33"/>
      <c r="F35" s="34"/>
      <c r="G35" s="35" t="str">
        <f aca="false">IF($AB35="","",IF(INDEX(Lib_Basis,$AB35)="Piece","pcs","cm"))</f>
        <v/>
      </c>
      <c r="H35" s="36" t="n">
        <f aca="false">IF(OR($AB35="",$AC35="",N($AC35)&lt;1,N($AC35)&gt;24),0,IF($AE35=0,INDEX(Engine_Grid,(WeightIdx-1)*75+$AB35,$AD35),IF(OR($AD35&gt;=24,INDEX(Engine_Grid,(WeightIdx-1)*75+$AB35,$AD35)=0,INDEX(Engine_Grid,(WeightIdx-1)*75+$AB35,$AD35+1)=0),0,INDEX(Engine_Grid,(WeightIdx-1)*75+$AB35,$AD35)*(1-$AE35)+INDEX(Engine_Grid,(WeightIdx-1)*75+$AB35,$AD35+1)*$AE35)))</f>
        <v>0</v>
      </c>
      <c r="I35" s="37" t="n">
        <f aca="false">IF(OR($H35=0,N($F35)&lt;=0),0,$F35/100*$H35*IF(N($D35)&lt;1,1,$D35))</f>
        <v>0</v>
      </c>
      <c r="J35" s="38" t="str">
        <f aca="false">IF($AB35="","",INDEX(Lib_Needle,$AB35))</f>
        <v/>
      </c>
      <c r="K35" s="38" t="str">
        <f aca="false">IF($AB35="","",INDEX(Lib_Bobbin,$AB35))</f>
        <v/>
      </c>
      <c r="L35" s="38" t="str">
        <f aca="false">IF($AB35="","",INDEX(Lib_Looper,$AB35))</f>
        <v/>
      </c>
      <c r="M35" s="38" t="str">
        <f aca="false">IF($AB35="","",INDEX(Lib_Cover,$AB35))</f>
        <v/>
      </c>
      <c r="N35" s="11"/>
      <c r="O35" s="39" t="n">
        <f aca="false">IF($I35=0,0,IF($AF35="Y",$I35*$J35/IF(N($D35)&lt;1,1,$D35),$I35*$J35))</f>
        <v>0</v>
      </c>
      <c r="P35" s="11"/>
      <c r="Q35" s="39" t="n">
        <f aca="false">IF(AND($I35&gt;0,$AF35="Y",IF(N($D35)&lt;1,1,$D35)&gt;=2),$I35*$J35/IF(N($D35)&lt;1,1,$D35),0)</f>
        <v>0</v>
      </c>
      <c r="R35" s="11"/>
      <c r="S35" s="39" t="n">
        <f aca="false">IF(AND($I35&gt;0,$AF35="Y",IF(N($D35)&lt;1,1,$D35)&gt;=3),$I35*$J35/IF(N($D35)&lt;1,1,$D35),0)</f>
        <v>0</v>
      </c>
      <c r="T35" s="11"/>
      <c r="U35" s="39" t="n">
        <f aca="false">IF($I35=0,0,$I35*$K35)</f>
        <v>0</v>
      </c>
      <c r="V35" s="11"/>
      <c r="W35" s="39" t="n">
        <f aca="false">IF($I35=0,0,$I35*$L35)</f>
        <v>0</v>
      </c>
      <c r="X35" s="11"/>
      <c r="Y35" s="39" t="n">
        <f aca="false">IF($I35=0,0,$I35*$M35)</f>
        <v>0</v>
      </c>
      <c r="Z35" s="39" t="n">
        <f aca="false">IF($N35="",$O35,0)+IF($P35="",$Q35,0)+IF($R35="",$S35,0)+IF($T35="",$U35,0)+IF($V35="",$W35,0)+IF($X35="",$Y35,0)+IF(AND($AF35="Y",IF(N($D35)&lt;1,1,$D35)&gt;3),$I35*$J35*(IF(N($D35)&lt;1,1,$D35)-3)/IF(N($D35)&lt;1,1,$D35),0)</f>
        <v>0</v>
      </c>
      <c r="AA35" s="40" t="str">
        <f aca="false">IF(AND($C35="",N($F35)=0),"",IF($C35="","⚠ Select a stitch type",IF($AB35="","⚠ Stitch not in library",IF(N($F35)&lt;=0,"⚠ Enter "&amp;IF($G35="pcs","quantity","seam length (cm)"),IF(AND($G35="cm",N($E35)&lt;=0),"⚠ Enter SPI",IF($H35=0,"⚠ No factor at SPI "&amp;$E35&amp;" – valid "&amp;INDEX(Lib_MinSPI,$AB35)&amp;"–"&amp;INDEX(Lib_MaxSPI,$AB35),IF(AND($AF35="Y",IF(N($D35)&lt;1,1,$D35)&gt;3),"⚠ More than 3 rows – thread for extra rows not allocated",IF($Z35&gt;0.00001,"⚠ Assign threads ("&amp;TEXT($Z35,"0.00")&amp;" m unassigned)","✔ OK"))))))))</f>
        <v/>
      </c>
      <c r="AB35" s="16" t="str">
        <f aca="false">IF($C35="","",IFERROR(MATCH($C35,Lib_Names,0),""))</f>
        <v/>
      </c>
      <c r="AC35" s="41" t="str">
        <f aca="false">IF($AB35="","",IF(INDEX(Lib_Basis,$AB35)="Piece",1,N($E35)))</f>
        <v/>
      </c>
      <c r="AD35" s="16" t="str">
        <f aca="false">IF($AC35="","",INT($AC35))</f>
        <v/>
      </c>
      <c r="AE35" s="17" t="str">
        <f aca="false">IF($AC35="","",$AC35-$AD35)</f>
        <v/>
      </c>
      <c r="AF35" s="35" t="str">
        <f aca="false">IF($AB35="","",INDEX(Lib_Multi,$AB35))</f>
        <v/>
      </c>
      <c r="AG35" s="42" t="str">
        <f aca="false">IF($AB35="","",INDEX(Lib_Cat,$AB35))</f>
        <v/>
      </c>
      <c r="AH35" s="39" t="n">
        <f aca="false">IF(N($F35)&lt;=0,0,$F35/100*IF(OR($AB35="",$AC35="",N($AC35)&lt;1,N($AC35)&gt;24),0,IF($AE35=0,INDEX(Engine_Grid,0+$AB35,$AD35),IF(OR($AD35&gt;=24,INDEX(Engine_Grid,0+$AB35,$AD35)=0,INDEX(Engine_Grid,0+$AB35,$AD35+1)=0),0,INDEX(Engine_Grid,0+$AB35,$AD35)*(1-$AE35)+INDEX(Engine_Grid,0+$AB35,$AD35+1)*$AE35)))*IF(N($D35)&lt;1,1,$D35))</f>
        <v>0</v>
      </c>
      <c r="AI35" s="39" t="n">
        <f aca="false">IF(N($F35)&lt;=0,0,$F35/100*IF(OR($AB35="",$AC35="",N($AC35)&lt;1,N($AC35)&gt;24),0,IF($AE35=0,INDEX(Engine_Grid,75+$AB35,$AD35),IF(OR($AD35&gt;=24,INDEX(Engine_Grid,75+$AB35,$AD35)=0,INDEX(Engine_Grid,75+$AB35,$AD35+1)=0),0,INDEX(Engine_Grid,75+$AB35,$AD35)*(1-$AE35)+INDEX(Engine_Grid,75+$AB35,$AD35+1)*$AE35)))*IF(N($D35)&lt;1,1,$D35))</f>
        <v>0</v>
      </c>
      <c r="AJ35" s="39" t="n">
        <f aca="false">IF(N($F35)&lt;=0,0,$F35/100*IF(OR($AB35="",$AC35="",N($AC35)&lt;1,N($AC35)&gt;24),0,IF($AE35=0,INDEX(Engine_Grid,150+$AB35,$AD35),IF(OR($AD35&gt;=24,INDEX(Engine_Grid,150+$AB35,$AD35)=0,INDEX(Engine_Grid,150+$AB35,$AD35+1)=0),0,INDEX(Engine_Grid,150+$AB35,$AD35)*(1-$AE35)+INDEX(Engine_Grid,150+$AB35,$AD35+1)*$AE35)))*IF(N($D35)&lt;1,1,$D35))</f>
        <v>0</v>
      </c>
      <c r="AK35" s="39" t="n">
        <f aca="false">IF(N($F35)&lt;=0,0,$F35/100*IF(OR($AB35="",$AC35="",N($AC35)&lt;1,N($AC35)&gt;24),0,IF($AE35=0,INDEX(Engine_Grid,225+$AB35,$AD35),IF(OR($AD35&gt;=24,INDEX(Engine_Grid,225+$AB35,$AD35)=0,INDEX(Engine_Grid,225+$AB35,$AD35+1)=0),0,INDEX(Engine_Grid,225+$AB35,$AD35)*(1-$AE35)+INDEX(Engine_Grid,225+$AB35,$AD35+1)*$AE35)))*IF(N($D35)&lt;1,1,$D35))</f>
        <v>0</v>
      </c>
    </row>
    <row r="36" customFormat="false" ht="15" hidden="false" customHeight="false" outlineLevel="0" collapsed="false">
      <c r="A36" s="31" t="n">
        <v>27</v>
      </c>
      <c r="B36" s="11"/>
      <c r="C36" s="11"/>
      <c r="D36" s="32"/>
      <c r="E36" s="33"/>
      <c r="F36" s="34"/>
      <c r="G36" s="35" t="str">
        <f aca="false">IF($AB36="","",IF(INDEX(Lib_Basis,$AB36)="Piece","pcs","cm"))</f>
        <v/>
      </c>
      <c r="H36" s="36" t="n">
        <f aca="false">IF(OR($AB36="",$AC36="",N($AC36)&lt;1,N($AC36)&gt;24),0,IF($AE36=0,INDEX(Engine_Grid,(WeightIdx-1)*75+$AB36,$AD36),IF(OR($AD36&gt;=24,INDEX(Engine_Grid,(WeightIdx-1)*75+$AB36,$AD36)=0,INDEX(Engine_Grid,(WeightIdx-1)*75+$AB36,$AD36+1)=0),0,INDEX(Engine_Grid,(WeightIdx-1)*75+$AB36,$AD36)*(1-$AE36)+INDEX(Engine_Grid,(WeightIdx-1)*75+$AB36,$AD36+1)*$AE36)))</f>
        <v>0</v>
      </c>
      <c r="I36" s="37" t="n">
        <f aca="false">IF(OR($H36=0,N($F36)&lt;=0),0,$F36/100*$H36*IF(N($D36)&lt;1,1,$D36))</f>
        <v>0</v>
      </c>
      <c r="J36" s="38" t="str">
        <f aca="false">IF($AB36="","",INDEX(Lib_Needle,$AB36))</f>
        <v/>
      </c>
      <c r="K36" s="38" t="str">
        <f aca="false">IF($AB36="","",INDEX(Lib_Bobbin,$AB36))</f>
        <v/>
      </c>
      <c r="L36" s="38" t="str">
        <f aca="false">IF($AB36="","",INDEX(Lib_Looper,$AB36))</f>
        <v/>
      </c>
      <c r="M36" s="38" t="str">
        <f aca="false">IF($AB36="","",INDEX(Lib_Cover,$AB36))</f>
        <v/>
      </c>
      <c r="N36" s="11"/>
      <c r="O36" s="39" t="n">
        <f aca="false">IF($I36=0,0,IF($AF36="Y",$I36*$J36/IF(N($D36)&lt;1,1,$D36),$I36*$J36))</f>
        <v>0</v>
      </c>
      <c r="P36" s="11"/>
      <c r="Q36" s="39" t="n">
        <f aca="false">IF(AND($I36&gt;0,$AF36="Y",IF(N($D36)&lt;1,1,$D36)&gt;=2),$I36*$J36/IF(N($D36)&lt;1,1,$D36),0)</f>
        <v>0</v>
      </c>
      <c r="R36" s="11"/>
      <c r="S36" s="39" t="n">
        <f aca="false">IF(AND($I36&gt;0,$AF36="Y",IF(N($D36)&lt;1,1,$D36)&gt;=3),$I36*$J36/IF(N($D36)&lt;1,1,$D36),0)</f>
        <v>0</v>
      </c>
      <c r="T36" s="11"/>
      <c r="U36" s="39" t="n">
        <f aca="false">IF($I36=0,0,$I36*$K36)</f>
        <v>0</v>
      </c>
      <c r="V36" s="11"/>
      <c r="W36" s="39" t="n">
        <f aca="false">IF($I36=0,0,$I36*$L36)</f>
        <v>0</v>
      </c>
      <c r="X36" s="11"/>
      <c r="Y36" s="39" t="n">
        <f aca="false">IF($I36=0,0,$I36*$M36)</f>
        <v>0</v>
      </c>
      <c r="Z36" s="39" t="n">
        <f aca="false">IF($N36="",$O36,0)+IF($P36="",$Q36,0)+IF($R36="",$S36,0)+IF($T36="",$U36,0)+IF($V36="",$W36,0)+IF($X36="",$Y36,0)+IF(AND($AF36="Y",IF(N($D36)&lt;1,1,$D36)&gt;3),$I36*$J36*(IF(N($D36)&lt;1,1,$D36)-3)/IF(N($D36)&lt;1,1,$D36),0)</f>
        <v>0</v>
      </c>
      <c r="AA36" s="40" t="str">
        <f aca="false">IF(AND($C36="",N($F36)=0),"",IF($C36="","⚠ Select a stitch type",IF($AB36="","⚠ Stitch not in library",IF(N($F36)&lt;=0,"⚠ Enter "&amp;IF($G36="pcs","quantity","seam length (cm)"),IF(AND($G36="cm",N($E36)&lt;=0),"⚠ Enter SPI",IF($H36=0,"⚠ No factor at SPI "&amp;$E36&amp;" – valid "&amp;INDEX(Lib_MinSPI,$AB36)&amp;"–"&amp;INDEX(Lib_MaxSPI,$AB36),IF(AND($AF36="Y",IF(N($D36)&lt;1,1,$D36)&gt;3),"⚠ More than 3 rows – thread for extra rows not allocated",IF($Z36&gt;0.00001,"⚠ Assign threads ("&amp;TEXT($Z36,"0.00")&amp;" m unassigned)","✔ OK"))))))))</f>
        <v/>
      </c>
      <c r="AB36" s="16" t="str">
        <f aca="false">IF($C36="","",IFERROR(MATCH($C36,Lib_Names,0),""))</f>
        <v/>
      </c>
      <c r="AC36" s="41" t="str">
        <f aca="false">IF($AB36="","",IF(INDEX(Lib_Basis,$AB36)="Piece",1,N($E36)))</f>
        <v/>
      </c>
      <c r="AD36" s="16" t="str">
        <f aca="false">IF($AC36="","",INT($AC36))</f>
        <v/>
      </c>
      <c r="AE36" s="17" t="str">
        <f aca="false">IF($AC36="","",$AC36-$AD36)</f>
        <v/>
      </c>
      <c r="AF36" s="35" t="str">
        <f aca="false">IF($AB36="","",INDEX(Lib_Multi,$AB36))</f>
        <v/>
      </c>
      <c r="AG36" s="42" t="str">
        <f aca="false">IF($AB36="","",INDEX(Lib_Cat,$AB36))</f>
        <v/>
      </c>
      <c r="AH36" s="39" t="n">
        <f aca="false">IF(N($F36)&lt;=0,0,$F36/100*IF(OR($AB36="",$AC36="",N($AC36)&lt;1,N($AC36)&gt;24),0,IF($AE36=0,INDEX(Engine_Grid,0+$AB36,$AD36),IF(OR($AD36&gt;=24,INDEX(Engine_Grid,0+$AB36,$AD36)=0,INDEX(Engine_Grid,0+$AB36,$AD36+1)=0),0,INDEX(Engine_Grid,0+$AB36,$AD36)*(1-$AE36)+INDEX(Engine_Grid,0+$AB36,$AD36+1)*$AE36)))*IF(N($D36)&lt;1,1,$D36))</f>
        <v>0</v>
      </c>
      <c r="AI36" s="39" t="n">
        <f aca="false">IF(N($F36)&lt;=0,0,$F36/100*IF(OR($AB36="",$AC36="",N($AC36)&lt;1,N($AC36)&gt;24),0,IF($AE36=0,INDEX(Engine_Grid,75+$AB36,$AD36),IF(OR($AD36&gt;=24,INDEX(Engine_Grid,75+$AB36,$AD36)=0,INDEX(Engine_Grid,75+$AB36,$AD36+1)=0),0,INDEX(Engine_Grid,75+$AB36,$AD36)*(1-$AE36)+INDEX(Engine_Grid,75+$AB36,$AD36+1)*$AE36)))*IF(N($D36)&lt;1,1,$D36))</f>
        <v>0</v>
      </c>
      <c r="AJ36" s="39" t="n">
        <f aca="false">IF(N($F36)&lt;=0,0,$F36/100*IF(OR($AB36="",$AC36="",N($AC36)&lt;1,N($AC36)&gt;24),0,IF($AE36=0,INDEX(Engine_Grid,150+$AB36,$AD36),IF(OR($AD36&gt;=24,INDEX(Engine_Grid,150+$AB36,$AD36)=0,INDEX(Engine_Grid,150+$AB36,$AD36+1)=0),0,INDEX(Engine_Grid,150+$AB36,$AD36)*(1-$AE36)+INDEX(Engine_Grid,150+$AB36,$AD36+1)*$AE36)))*IF(N($D36)&lt;1,1,$D36))</f>
        <v>0</v>
      </c>
      <c r="AK36" s="39" t="n">
        <f aca="false">IF(N($F36)&lt;=0,0,$F36/100*IF(OR($AB36="",$AC36="",N($AC36)&lt;1,N($AC36)&gt;24),0,IF($AE36=0,INDEX(Engine_Grid,225+$AB36,$AD36),IF(OR($AD36&gt;=24,INDEX(Engine_Grid,225+$AB36,$AD36)=0,INDEX(Engine_Grid,225+$AB36,$AD36+1)=0),0,INDEX(Engine_Grid,225+$AB36,$AD36)*(1-$AE36)+INDEX(Engine_Grid,225+$AB36,$AD36+1)*$AE36)))*IF(N($D36)&lt;1,1,$D36))</f>
        <v>0</v>
      </c>
    </row>
    <row r="37" customFormat="false" ht="15" hidden="false" customHeight="false" outlineLevel="0" collapsed="false">
      <c r="A37" s="31" t="n">
        <v>28</v>
      </c>
      <c r="B37" s="11"/>
      <c r="C37" s="11"/>
      <c r="D37" s="32"/>
      <c r="E37" s="33"/>
      <c r="F37" s="34"/>
      <c r="G37" s="35" t="str">
        <f aca="false">IF($AB37="","",IF(INDEX(Lib_Basis,$AB37)="Piece","pcs","cm"))</f>
        <v/>
      </c>
      <c r="H37" s="36" t="n">
        <f aca="false">IF(OR($AB37="",$AC37="",N($AC37)&lt;1,N($AC37)&gt;24),0,IF($AE37=0,INDEX(Engine_Grid,(WeightIdx-1)*75+$AB37,$AD37),IF(OR($AD37&gt;=24,INDEX(Engine_Grid,(WeightIdx-1)*75+$AB37,$AD37)=0,INDEX(Engine_Grid,(WeightIdx-1)*75+$AB37,$AD37+1)=0),0,INDEX(Engine_Grid,(WeightIdx-1)*75+$AB37,$AD37)*(1-$AE37)+INDEX(Engine_Grid,(WeightIdx-1)*75+$AB37,$AD37+1)*$AE37)))</f>
        <v>0</v>
      </c>
      <c r="I37" s="37" t="n">
        <f aca="false">IF(OR($H37=0,N($F37)&lt;=0),0,$F37/100*$H37*IF(N($D37)&lt;1,1,$D37))</f>
        <v>0</v>
      </c>
      <c r="J37" s="38" t="str">
        <f aca="false">IF($AB37="","",INDEX(Lib_Needle,$AB37))</f>
        <v/>
      </c>
      <c r="K37" s="38" t="str">
        <f aca="false">IF($AB37="","",INDEX(Lib_Bobbin,$AB37))</f>
        <v/>
      </c>
      <c r="L37" s="38" t="str">
        <f aca="false">IF($AB37="","",INDEX(Lib_Looper,$AB37))</f>
        <v/>
      </c>
      <c r="M37" s="38" t="str">
        <f aca="false">IF($AB37="","",INDEX(Lib_Cover,$AB37))</f>
        <v/>
      </c>
      <c r="N37" s="11"/>
      <c r="O37" s="39" t="n">
        <f aca="false">IF($I37=0,0,IF($AF37="Y",$I37*$J37/IF(N($D37)&lt;1,1,$D37),$I37*$J37))</f>
        <v>0</v>
      </c>
      <c r="P37" s="11"/>
      <c r="Q37" s="39" t="n">
        <f aca="false">IF(AND($I37&gt;0,$AF37="Y",IF(N($D37)&lt;1,1,$D37)&gt;=2),$I37*$J37/IF(N($D37)&lt;1,1,$D37),0)</f>
        <v>0</v>
      </c>
      <c r="R37" s="11"/>
      <c r="S37" s="39" t="n">
        <f aca="false">IF(AND($I37&gt;0,$AF37="Y",IF(N($D37)&lt;1,1,$D37)&gt;=3),$I37*$J37/IF(N($D37)&lt;1,1,$D37),0)</f>
        <v>0</v>
      </c>
      <c r="T37" s="11"/>
      <c r="U37" s="39" t="n">
        <f aca="false">IF($I37=0,0,$I37*$K37)</f>
        <v>0</v>
      </c>
      <c r="V37" s="11"/>
      <c r="W37" s="39" t="n">
        <f aca="false">IF($I37=0,0,$I37*$L37)</f>
        <v>0</v>
      </c>
      <c r="X37" s="11"/>
      <c r="Y37" s="39" t="n">
        <f aca="false">IF($I37=0,0,$I37*$M37)</f>
        <v>0</v>
      </c>
      <c r="Z37" s="39" t="n">
        <f aca="false">IF($N37="",$O37,0)+IF($P37="",$Q37,0)+IF($R37="",$S37,0)+IF($T37="",$U37,0)+IF($V37="",$W37,0)+IF($X37="",$Y37,0)+IF(AND($AF37="Y",IF(N($D37)&lt;1,1,$D37)&gt;3),$I37*$J37*(IF(N($D37)&lt;1,1,$D37)-3)/IF(N($D37)&lt;1,1,$D37),0)</f>
        <v>0</v>
      </c>
      <c r="AA37" s="40" t="str">
        <f aca="false">IF(AND($C37="",N($F37)=0),"",IF($C37="","⚠ Select a stitch type",IF($AB37="","⚠ Stitch not in library",IF(N($F37)&lt;=0,"⚠ Enter "&amp;IF($G37="pcs","quantity","seam length (cm)"),IF(AND($G37="cm",N($E37)&lt;=0),"⚠ Enter SPI",IF($H37=0,"⚠ No factor at SPI "&amp;$E37&amp;" – valid "&amp;INDEX(Lib_MinSPI,$AB37)&amp;"–"&amp;INDEX(Lib_MaxSPI,$AB37),IF(AND($AF37="Y",IF(N($D37)&lt;1,1,$D37)&gt;3),"⚠ More than 3 rows – thread for extra rows not allocated",IF($Z37&gt;0.00001,"⚠ Assign threads ("&amp;TEXT($Z37,"0.00")&amp;" m unassigned)","✔ OK"))))))))</f>
        <v/>
      </c>
      <c r="AB37" s="16" t="str">
        <f aca="false">IF($C37="","",IFERROR(MATCH($C37,Lib_Names,0),""))</f>
        <v/>
      </c>
      <c r="AC37" s="41" t="str">
        <f aca="false">IF($AB37="","",IF(INDEX(Lib_Basis,$AB37)="Piece",1,N($E37)))</f>
        <v/>
      </c>
      <c r="AD37" s="16" t="str">
        <f aca="false">IF($AC37="","",INT($AC37))</f>
        <v/>
      </c>
      <c r="AE37" s="17" t="str">
        <f aca="false">IF($AC37="","",$AC37-$AD37)</f>
        <v/>
      </c>
      <c r="AF37" s="35" t="str">
        <f aca="false">IF($AB37="","",INDEX(Lib_Multi,$AB37))</f>
        <v/>
      </c>
      <c r="AG37" s="42" t="str">
        <f aca="false">IF($AB37="","",INDEX(Lib_Cat,$AB37))</f>
        <v/>
      </c>
      <c r="AH37" s="39" t="n">
        <f aca="false">IF(N($F37)&lt;=0,0,$F37/100*IF(OR($AB37="",$AC37="",N($AC37)&lt;1,N($AC37)&gt;24),0,IF($AE37=0,INDEX(Engine_Grid,0+$AB37,$AD37),IF(OR($AD37&gt;=24,INDEX(Engine_Grid,0+$AB37,$AD37)=0,INDEX(Engine_Grid,0+$AB37,$AD37+1)=0),0,INDEX(Engine_Grid,0+$AB37,$AD37)*(1-$AE37)+INDEX(Engine_Grid,0+$AB37,$AD37+1)*$AE37)))*IF(N($D37)&lt;1,1,$D37))</f>
        <v>0</v>
      </c>
      <c r="AI37" s="39" t="n">
        <f aca="false">IF(N($F37)&lt;=0,0,$F37/100*IF(OR($AB37="",$AC37="",N($AC37)&lt;1,N($AC37)&gt;24),0,IF($AE37=0,INDEX(Engine_Grid,75+$AB37,$AD37),IF(OR($AD37&gt;=24,INDEX(Engine_Grid,75+$AB37,$AD37)=0,INDEX(Engine_Grid,75+$AB37,$AD37+1)=0),0,INDEX(Engine_Grid,75+$AB37,$AD37)*(1-$AE37)+INDEX(Engine_Grid,75+$AB37,$AD37+1)*$AE37)))*IF(N($D37)&lt;1,1,$D37))</f>
        <v>0</v>
      </c>
      <c r="AJ37" s="39" t="n">
        <f aca="false">IF(N($F37)&lt;=0,0,$F37/100*IF(OR($AB37="",$AC37="",N($AC37)&lt;1,N($AC37)&gt;24),0,IF($AE37=0,INDEX(Engine_Grid,150+$AB37,$AD37),IF(OR($AD37&gt;=24,INDEX(Engine_Grid,150+$AB37,$AD37)=0,INDEX(Engine_Grid,150+$AB37,$AD37+1)=0),0,INDEX(Engine_Grid,150+$AB37,$AD37)*(1-$AE37)+INDEX(Engine_Grid,150+$AB37,$AD37+1)*$AE37)))*IF(N($D37)&lt;1,1,$D37))</f>
        <v>0</v>
      </c>
      <c r="AK37" s="39" t="n">
        <f aca="false">IF(N($F37)&lt;=0,0,$F37/100*IF(OR($AB37="",$AC37="",N($AC37)&lt;1,N($AC37)&gt;24),0,IF($AE37=0,INDEX(Engine_Grid,225+$AB37,$AD37),IF(OR($AD37&gt;=24,INDEX(Engine_Grid,225+$AB37,$AD37)=0,INDEX(Engine_Grid,225+$AB37,$AD37+1)=0),0,INDEX(Engine_Grid,225+$AB37,$AD37)*(1-$AE37)+INDEX(Engine_Grid,225+$AB37,$AD37+1)*$AE37)))*IF(N($D37)&lt;1,1,$D37))</f>
        <v>0</v>
      </c>
    </row>
    <row r="38" customFormat="false" ht="15" hidden="false" customHeight="false" outlineLevel="0" collapsed="false">
      <c r="A38" s="31" t="n">
        <v>29</v>
      </c>
      <c r="B38" s="11"/>
      <c r="C38" s="11"/>
      <c r="D38" s="32"/>
      <c r="E38" s="33"/>
      <c r="F38" s="34"/>
      <c r="G38" s="35" t="str">
        <f aca="false">IF($AB38="","",IF(INDEX(Lib_Basis,$AB38)="Piece","pcs","cm"))</f>
        <v/>
      </c>
      <c r="H38" s="36" t="n">
        <f aca="false">IF(OR($AB38="",$AC38="",N($AC38)&lt;1,N($AC38)&gt;24),0,IF($AE38=0,INDEX(Engine_Grid,(WeightIdx-1)*75+$AB38,$AD38),IF(OR($AD38&gt;=24,INDEX(Engine_Grid,(WeightIdx-1)*75+$AB38,$AD38)=0,INDEX(Engine_Grid,(WeightIdx-1)*75+$AB38,$AD38+1)=0),0,INDEX(Engine_Grid,(WeightIdx-1)*75+$AB38,$AD38)*(1-$AE38)+INDEX(Engine_Grid,(WeightIdx-1)*75+$AB38,$AD38+1)*$AE38)))</f>
        <v>0</v>
      </c>
      <c r="I38" s="37" t="n">
        <f aca="false">IF(OR($H38=0,N($F38)&lt;=0),0,$F38/100*$H38*IF(N($D38)&lt;1,1,$D38))</f>
        <v>0</v>
      </c>
      <c r="J38" s="38" t="str">
        <f aca="false">IF($AB38="","",INDEX(Lib_Needle,$AB38))</f>
        <v/>
      </c>
      <c r="K38" s="38" t="str">
        <f aca="false">IF($AB38="","",INDEX(Lib_Bobbin,$AB38))</f>
        <v/>
      </c>
      <c r="L38" s="38" t="str">
        <f aca="false">IF($AB38="","",INDEX(Lib_Looper,$AB38))</f>
        <v/>
      </c>
      <c r="M38" s="38" t="str">
        <f aca="false">IF($AB38="","",INDEX(Lib_Cover,$AB38))</f>
        <v/>
      </c>
      <c r="N38" s="11"/>
      <c r="O38" s="39" t="n">
        <f aca="false">IF($I38=0,0,IF($AF38="Y",$I38*$J38/IF(N($D38)&lt;1,1,$D38),$I38*$J38))</f>
        <v>0</v>
      </c>
      <c r="P38" s="11"/>
      <c r="Q38" s="39" t="n">
        <f aca="false">IF(AND($I38&gt;0,$AF38="Y",IF(N($D38)&lt;1,1,$D38)&gt;=2),$I38*$J38/IF(N($D38)&lt;1,1,$D38),0)</f>
        <v>0</v>
      </c>
      <c r="R38" s="11"/>
      <c r="S38" s="39" t="n">
        <f aca="false">IF(AND($I38&gt;0,$AF38="Y",IF(N($D38)&lt;1,1,$D38)&gt;=3),$I38*$J38/IF(N($D38)&lt;1,1,$D38),0)</f>
        <v>0</v>
      </c>
      <c r="T38" s="11"/>
      <c r="U38" s="39" t="n">
        <f aca="false">IF($I38=0,0,$I38*$K38)</f>
        <v>0</v>
      </c>
      <c r="V38" s="11"/>
      <c r="W38" s="39" t="n">
        <f aca="false">IF($I38=0,0,$I38*$L38)</f>
        <v>0</v>
      </c>
      <c r="X38" s="11"/>
      <c r="Y38" s="39" t="n">
        <f aca="false">IF($I38=0,0,$I38*$M38)</f>
        <v>0</v>
      </c>
      <c r="Z38" s="39" t="n">
        <f aca="false">IF($N38="",$O38,0)+IF($P38="",$Q38,0)+IF($R38="",$S38,0)+IF($T38="",$U38,0)+IF($V38="",$W38,0)+IF($X38="",$Y38,0)+IF(AND($AF38="Y",IF(N($D38)&lt;1,1,$D38)&gt;3),$I38*$J38*(IF(N($D38)&lt;1,1,$D38)-3)/IF(N($D38)&lt;1,1,$D38),0)</f>
        <v>0</v>
      </c>
      <c r="AA38" s="40" t="str">
        <f aca="false">IF(AND($C38="",N($F38)=0),"",IF($C38="","⚠ Select a stitch type",IF($AB38="","⚠ Stitch not in library",IF(N($F38)&lt;=0,"⚠ Enter "&amp;IF($G38="pcs","quantity","seam length (cm)"),IF(AND($G38="cm",N($E38)&lt;=0),"⚠ Enter SPI",IF($H38=0,"⚠ No factor at SPI "&amp;$E38&amp;" – valid "&amp;INDEX(Lib_MinSPI,$AB38)&amp;"–"&amp;INDEX(Lib_MaxSPI,$AB38),IF(AND($AF38="Y",IF(N($D38)&lt;1,1,$D38)&gt;3),"⚠ More than 3 rows – thread for extra rows not allocated",IF($Z38&gt;0.00001,"⚠ Assign threads ("&amp;TEXT($Z38,"0.00")&amp;" m unassigned)","✔ OK"))))))))</f>
        <v/>
      </c>
      <c r="AB38" s="16" t="str">
        <f aca="false">IF($C38="","",IFERROR(MATCH($C38,Lib_Names,0),""))</f>
        <v/>
      </c>
      <c r="AC38" s="41" t="str">
        <f aca="false">IF($AB38="","",IF(INDEX(Lib_Basis,$AB38)="Piece",1,N($E38)))</f>
        <v/>
      </c>
      <c r="AD38" s="16" t="str">
        <f aca="false">IF($AC38="","",INT($AC38))</f>
        <v/>
      </c>
      <c r="AE38" s="17" t="str">
        <f aca="false">IF($AC38="","",$AC38-$AD38)</f>
        <v/>
      </c>
      <c r="AF38" s="35" t="str">
        <f aca="false">IF($AB38="","",INDEX(Lib_Multi,$AB38))</f>
        <v/>
      </c>
      <c r="AG38" s="42" t="str">
        <f aca="false">IF($AB38="","",INDEX(Lib_Cat,$AB38))</f>
        <v/>
      </c>
      <c r="AH38" s="39" t="n">
        <f aca="false">IF(N($F38)&lt;=0,0,$F38/100*IF(OR($AB38="",$AC38="",N($AC38)&lt;1,N($AC38)&gt;24),0,IF($AE38=0,INDEX(Engine_Grid,0+$AB38,$AD38),IF(OR($AD38&gt;=24,INDEX(Engine_Grid,0+$AB38,$AD38)=0,INDEX(Engine_Grid,0+$AB38,$AD38+1)=0),0,INDEX(Engine_Grid,0+$AB38,$AD38)*(1-$AE38)+INDEX(Engine_Grid,0+$AB38,$AD38+1)*$AE38)))*IF(N($D38)&lt;1,1,$D38))</f>
        <v>0</v>
      </c>
      <c r="AI38" s="39" t="n">
        <f aca="false">IF(N($F38)&lt;=0,0,$F38/100*IF(OR($AB38="",$AC38="",N($AC38)&lt;1,N($AC38)&gt;24),0,IF($AE38=0,INDEX(Engine_Grid,75+$AB38,$AD38),IF(OR($AD38&gt;=24,INDEX(Engine_Grid,75+$AB38,$AD38)=0,INDEX(Engine_Grid,75+$AB38,$AD38+1)=0),0,INDEX(Engine_Grid,75+$AB38,$AD38)*(1-$AE38)+INDEX(Engine_Grid,75+$AB38,$AD38+1)*$AE38)))*IF(N($D38)&lt;1,1,$D38))</f>
        <v>0</v>
      </c>
      <c r="AJ38" s="39" t="n">
        <f aca="false">IF(N($F38)&lt;=0,0,$F38/100*IF(OR($AB38="",$AC38="",N($AC38)&lt;1,N($AC38)&gt;24),0,IF($AE38=0,INDEX(Engine_Grid,150+$AB38,$AD38),IF(OR($AD38&gt;=24,INDEX(Engine_Grid,150+$AB38,$AD38)=0,INDEX(Engine_Grid,150+$AB38,$AD38+1)=0),0,INDEX(Engine_Grid,150+$AB38,$AD38)*(1-$AE38)+INDEX(Engine_Grid,150+$AB38,$AD38+1)*$AE38)))*IF(N($D38)&lt;1,1,$D38))</f>
        <v>0</v>
      </c>
      <c r="AK38" s="39" t="n">
        <f aca="false">IF(N($F38)&lt;=0,0,$F38/100*IF(OR($AB38="",$AC38="",N($AC38)&lt;1,N($AC38)&gt;24),0,IF($AE38=0,INDEX(Engine_Grid,225+$AB38,$AD38),IF(OR($AD38&gt;=24,INDEX(Engine_Grid,225+$AB38,$AD38)=0,INDEX(Engine_Grid,225+$AB38,$AD38+1)=0),0,INDEX(Engine_Grid,225+$AB38,$AD38)*(1-$AE38)+INDEX(Engine_Grid,225+$AB38,$AD38+1)*$AE38)))*IF(N($D38)&lt;1,1,$D38))</f>
        <v>0</v>
      </c>
    </row>
    <row r="39" customFormat="false" ht="15" hidden="false" customHeight="false" outlineLevel="0" collapsed="false">
      <c r="A39" s="31" t="n">
        <v>30</v>
      </c>
      <c r="B39" s="11"/>
      <c r="C39" s="11"/>
      <c r="D39" s="32"/>
      <c r="E39" s="33"/>
      <c r="F39" s="34"/>
      <c r="G39" s="35" t="str">
        <f aca="false">IF($AB39="","",IF(INDEX(Lib_Basis,$AB39)="Piece","pcs","cm"))</f>
        <v/>
      </c>
      <c r="H39" s="36" t="n">
        <f aca="false">IF(OR($AB39="",$AC39="",N($AC39)&lt;1,N($AC39)&gt;24),0,IF($AE39=0,INDEX(Engine_Grid,(WeightIdx-1)*75+$AB39,$AD39),IF(OR($AD39&gt;=24,INDEX(Engine_Grid,(WeightIdx-1)*75+$AB39,$AD39)=0,INDEX(Engine_Grid,(WeightIdx-1)*75+$AB39,$AD39+1)=0),0,INDEX(Engine_Grid,(WeightIdx-1)*75+$AB39,$AD39)*(1-$AE39)+INDEX(Engine_Grid,(WeightIdx-1)*75+$AB39,$AD39+1)*$AE39)))</f>
        <v>0</v>
      </c>
      <c r="I39" s="37" t="n">
        <f aca="false">IF(OR($H39=0,N($F39)&lt;=0),0,$F39/100*$H39*IF(N($D39)&lt;1,1,$D39))</f>
        <v>0</v>
      </c>
      <c r="J39" s="38" t="str">
        <f aca="false">IF($AB39="","",INDEX(Lib_Needle,$AB39))</f>
        <v/>
      </c>
      <c r="K39" s="38" t="str">
        <f aca="false">IF($AB39="","",INDEX(Lib_Bobbin,$AB39))</f>
        <v/>
      </c>
      <c r="L39" s="38" t="str">
        <f aca="false">IF($AB39="","",INDEX(Lib_Looper,$AB39))</f>
        <v/>
      </c>
      <c r="M39" s="38" t="str">
        <f aca="false">IF($AB39="","",INDEX(Lib_Cover,$AB39))</f>
        <v/>
      </c>
      <c r="N39" s="11"/>
      <c r="O39" s="39" t="n">
        <f aca="false">IF($I39=0,0,IF($AF39="Y",$I39*$J39/IF(N($D39)&lt;1,1,$D39),$I39*$J39))</f>
        <v>0</v>
      </c>
      <c r="P39" s="11"/>
      <c r="Q39" s="39" t="n">
        <f aca="false">IF(AND($I39&gt;0,$AF39="Y",IF(N($D39)&lt;1,1,$D39)&gt;=2),$I39*$J39/IF(N($D39)&lt;1,1,$D39),0)</f>
        <v>0</v>
      </c>
      <c r="R39" s="11"/>
      <c r="S39" s="39" t="n">
        <f aca="false">IF(AND($I39&gt;0,$AF39="Y",IF(N($D39)&lt;1,1,$D39)&gt;=3),$I39*$J39/IF(N($D39)&lt;1,1,$D39),0)</f>
        <v>0</v>
      </c>
      <c r="T39" s="11"/>
      <c r="U39" s="39" t="n">
        <f aca="false">IF($I39=0,0,$I39*$K39)</f>
        <v>0</v>
      </c>
      <c r="V39" s="11"/>
      <c r="W39" s="39" t="n">
        <f aca="false">IF($I39=0,0,$I39*$L39)</f>
        <v>0</v>
      </c>
      <c r="X39" s="11"/>
      <c r="Y39" s="39" t="n">
        <f aca="false">IF($I39=0,0,$I39*$M39)</f>
        <v>0</v>
      </c>
      <c r="Z39" s="39" t="n">
        <f aca="false">IF($N39="",$O39,0)+IF($P39="",$Q39,0)+IF($R39="",$S39,0)+IF($T39="",$U39,0)+IF($V39="",$W39,0)+IF($X39="",$Y39,0)+IF(AND($AF39="Y",IF(N($D39)&lt;1,1,$D39)&gt;3),$I39*$J39*(IF(N($D39)&lt;1,1,$D39)-3)/IF(N($D39)&lt;1,1,$D39),0)</f>
        <v>0</v>
      </c>
      <c r="AA39" s="40" t="str">
        <f aca="false">IF(AND($C39="",N($F39)=0),"",IF($C39="","⚠ Select a stitch type",IF($AB39="","⚠ Stitch not in library",IF(N($F39)&lt;=0,"⚠ Enter "&amp;IF($G39="pcs","quantity","seam length (cm)"),IF(AND($G39="cm",N($E39)&lt;=0),"⚠ Enter SPI",IF($H39=0,"⚠ No factor at SPI "&amp;$E39&amp;" – valid "&amp;INDEX(Lib_MinSPI,$AB39)&amp;"–"&amp;INDEX(Lib_MaxSPI,$AB39),IF(AND($AF39="Y",IF(N($D39)&lt;1,1,$D39)&gt;3),"⚠ More than 3 rows – thread for extra rows not allocated",IF($Z39&gt;0.00001,"⚠ Assign threads ("&amp;TEXT($Z39,"0.00")&amp;" m unassigned)","✔ OK"))))))))</f>
        <v/>
      </c>
      <c r="AB39" s="16" t="str">
        <f aca="false">IF($C39="","",IFERROR(MATCH($C39,Lib_Names,0),""))</f>
        <v/>
      </c>
      <c r="AC39" s="41" t="str">
        <f aca="false">IF($AB39="","",IF(INDEX(Lib_Basis,$AB39)="Piece",1,N($E39)))</f>
        <v/>
      </c>
      <c r="AD39" s="16" t="str">
        <f aca="false">IF($AC39="","",INT($AC39))</f>
        <v/>
      </c>
      <c r="AE39" s="17" t="str">
        <f aca="false">IF($AC39="","",$AC39-$AD39)</f>
        <v/>
      </c>
      <c r="AF39" s="35" t="str">
        <f aca="false">IF($AB39="","",INDEX(Lib_Multi,$AB39))</f>
        <v/>
      </c>
      <c r="AG39" s="42" t="str">
        <f aca="false">IF($AB39="","",INDEX(Lib_Cat,$AB39))</f>
        <v/>
      </c>
      <c r="AH39" s="39" t="n">
        <f aca="false">IF(N($F39)&lt;=0,0,$F39/100*IF(OR($AB39="",$AC39="",N($AC39)&lt;1,N($AC39)&gt;24),0,IF($AE39=0,INDEX(Engine_Grid,0+$AB39,$AD39),IF(OR($AD39&gt;=24,INDEX(Engine_Grid,0+$AB39,$AD39)=0,INDEX(Engine_Grid,0+$AB39,$AD39+1)=0),0,INDEX(Engine_Grid,0+$AB39,$AD39)*(1-$AE39)+INDEX(Engine_Grid,0+$AB39,$AD39+1)*$AE39)))*IF(N($D39)&lt;1,1,$D39))</f>
        <v>0</v>
      </c>
      <c r="AI39" s="39" t="n">
        <f aca="false">IF(N($F39)&lt;=0,0,$F39/100*IF(OR($AB39="",$AC39="",N($AC39)&lt;1,N($AC39)&gt;24),0,IF($AE39=0,INDEX(Engine_Grid,75+$AB39,$AD39),IF(OR($AD39&gt;=24,INDEX(Engine_Grid,75+$AB39,$AD39)=0,INDEX(Engine_Grid,75+$AB39,$AD39+1)=0),0,INDEX(Engine_Grid,75+$AB39,$AD39)*(1-$AE39)+INDEX(Engine_Grid,75+$AB39,$AD39+1)*$AE39)))*IF(N($D39)&lt;1,1,$D39))</f>
        <v>0</v>
      </c>
      <c r="AJ39" s="39" t="n">
        <f aca="false">IF(N($F39)&lt;=0,0,$F39/100*IF(OR($AB39="",$AC39="",N($AC39)&lt;1,N($AC39)&gt;24),0,IF($AE39=0,INDEX(Engine_Grid,150+$AB39,$AD39),IF(OR($AD39&gt;=24,INDEX(Engine_Grid,150+$AB39,$AD39)=0,INDEX(Engine_Grid,150+$AB39,$AD39+1)=0),0,INDEX(Engine_Grid,150+$AB39,$AD39)*(1-$AE39)+INDEX(Engine_Grid,150+$AB39,$AD39+1)*$AE39)))*IF(N($D39)&lt;1,1,$D39))</f>
        <v>0</v>
      </c>
      <c r="AK39" s="39" t="n">
        <f aca="false">IF(N($F39)&lt;=0,0,$F39/100*IF(OR($AB39="",$AC39="",N($AC39)&lt;1,N($AC39)&gt;24),0,IF($AE39=0,INDEX(Engine_Grid,225+$AB39,$AD39),IF(OR($AD39&gt;=24,INDEX(Engine_Grid,225+$AB39,$AD39)=0,INDEX(Engine_Grid,225+$AB39,$AD39+1)=0),0,INDEX(Engine_Grid,225+$AB39,$AD39)*(1-$AE39)+INDEX(Engine_Grid,225+$AB39,$AD39+1)*$AE39)))*IF(N($D39)&lt;1,1,$D39))</f>
        <v>0</v>
      </c>
    </row>
    <row r="40" customFormat="false" ht="15" hidden="false" customHeight="false" outlineLevel="0" collapsed="false">
      <c r="A40" s="31" t="n">
        <v>31</v>
      </c>
      <c r="B40" s="11"/>
      <c r="C40" s="11"/>
      <c r="D40" s="32"/>
      <c r="E40" s="33"/>
      <c r="F40" s="34"/>
      <c r="G40" s="35" t="str">
        <f aca="false">IF($AB40="","",IF(INDEX(Lib_Basis,$AB40)="Piece","pcs","cm"))</f>
        <v/>
      </c>
      <c r="H40" s="36" t="n">
        <f aca="false">IF(OR($AB40="",$AC40="",N($AC40)&lt;1,N($AC40)&gt;24),0,IF($AE40=0,INDEX(Engine_Grid,(WeightIdx-1)*75+$AB40,$AD40),IF(OR($AD40&gt;=24,INDEX(Engine_Grid,(WeightIdx-1)*75+$AB40,$AD40)=0,INDEX(Engine_Grid,(WeightIdx-1)*75+$AB40,$AD40+1)=0),0,INDEX(Engine_Grid,(WeightIdx-1)*75+$AB40,$AD40)*(1-$AE40)+INDEX(Engine_Grid,(WeightIdx-1)*75+$AB40,$AD40+1)*$AE40)))</f>
        <v>0</v>
      </c>
      <c r="I40" s="37" t="n">
        <f aca="false">IF(OR($H40=0,N($F40)&lt;=0),0,$F40/100*$H40*IF(N($D40)&lt;1,1,$D40))</f>
        <v>0</v>
      </c>
      <c r="J40" s="38" t="str">
        <f aca="false">IF($AB40="","",INDEX(Lib_Needle,$AB40))</f>
        <v/>
      </c>
      <c r="K40" s="38" t="str">
        <f aca="false">IF($AB40="","",INDEX(Lib_Bobbin,$AB40))</f>
        <v/>
      </c>
      <c r="L40" s="38" t="str">
        <f aca="false">IF($AB40="","",INDEX(Lib_Looper,$AB40))</f>
        <v/>
      </c>
      <c r="M40" s="38" t="str">
        <f aca="false">IF($AB40="","",INDEX(Lib_Cover,$AB40))</f>
        <v/>
      </c>
      <c r="N40" s="11"/>
      <c r="O40" s="39" t="n">
        <f aca="false">IF($I40=0,0,IF($AF40="Y",$I40*$J40/IF(N($D40)&lt;1,1,$D40),$I40*$J40))</f>
        <v>0</v>
      </c>
      <c r="P40" s="11"/>
      <c r="Q40" s="39" t="n">
        <f aca="false">IF(AND($I40&gt;0,$AF40="Y",IF(N($D40)&lt;1,1,$D40)&gt;=2),$I40*$J40/IF(N($D40)&lt;1,1,$D40),0)</f>
        <v>0</v>
      </c>
      <c r="R40" s="11"/>
      <c r="S40" s="39" t="n">
        <f aca="false">IF(AND($I40&gt;0,$AF40="Y",IF(N($D40)&lt;1,1,$D40)&gt;=3),$I40*$J40/IF(N($D40)&lt;1,1,$D40),0)</f>
        <v>0</v>
      </c>
      <c r="T40" s="11"/>
      <c r="U40" s="39" t="n">
        <f aca="false">IF($I40=0,0,$I40*$K40)</f>
        <v>0</v>
      </c>
      <c r="V40" s="11"/>
      <c r="W40" s="39" t="n">
        <f aca="false">IF($I40=0,0,$I40*$L40)</f>
        <v>0</v>
      </c>
      <c r="X40" s="11"/>
      <c r="Y40" s="39" t="n">
        <f aca="false">IF($I40=0,0,$I40*$M40)</f>
        <v>0</v>
      </c>
      <c r="Z40" s="39" t="n">
        <f aca="false">IF($N40="",$O40,0)+IF($P40="",$Q40,0)+IF($R40="",$S40,0)+IF($T40="",$U40,0)+IF($V40="",$W40,0)+IF($X40="",$Y40,0)+IF(AND($AF40="Y",IF(N($D40)&lt;1,1,$D40)&gt;3),$I40*$J40*(IF(N($D40)&lt;1,1,$D40)-3)/IF(N($D40)&lt;1,1,$D40),0)</f>
        <v>0</v>
      </c>
      <c r="AA40" s="40" t="str">
        <f aca="false">IF(AND($C40="",N($F40)=0),"",IF($C40="","⚠ Select a stitch type",IF($AB40="","⚠ Stitch not in library",IF(N($F40)&lt;=0,"⚠ Enter "&amp;IF($G40="pcs","quantity","seam length (cm)"),IF(AND($G40="cm",N($E40)&lt;=0),"⚠ Enter SPI",IF($H40=0,"⚠ No factor at SPI "&amp;$E40&amp;" – valid "&amp;INDEX(Lib_MinSPI,$AB40)&amp;"–"&amp;INDEX(Lib_MaxSPI,$AB40),IF(AND($AF40="Y",IF(N($D40)&lt;1,1,$D40)&gt;3),"⚠ More than 3 rows – thread for extra rows not allocated",IF($Z40&gt;0.00001,"⚠ Assign threads ("&amp;TEXT($Z40,"0.00")&amp;" m unassigned)","✔ OK"))))))))</f>
        <v/>
      </c>
      <c r="AB40" s="16" t="str">
        <f aca="false">IF($C40="","",IFERROR(MATCH($C40,Lib_Names,0),""))</f>
        <v/>
      </c>
      <c r="AC40" s="41" t="str">
        <f aca="false">IF($AB40="","",IF(INDEX(Lib_Basis,$AB40)="Piece",1,N($E40)))</f>
        <v/>
      </c>
      <c r="AD40" s="16" t="str">
        <f aca="false">IF($AC40="","",INT($AC40))</f>
        <v/>
      </c>
      <c r="AE40" s="17" t="str">
        <f aca="false">IF($AC40="","",$AC40-$AD40)</f>
        <v/>
      </c>
      <c r="AF40" s="35" t="str">
        <f aca="false">IF($AB40="","",INDEX(Lib_Multi,$AB40))</f>
        <v/>
      </c>
      <c r="AG40" s="42" t="str">
        <f aca="false">IF($AB40="","",INDEX(Lib_Cat,$AB40))</f>
        <v/>
      </c>
      <c r="AH40" s="39" t="n">
        <f aca="false">IF(N($F40)&lt;=0,0,$F40/100*IF(OR($AB40="",$AC40="",N($AC40)&lt;1,N($AC40)&gt;24),0,IF($AE40=0,INDEX(Engine_Grid,0+$AB40,$AD40),IF(OR($AD40&gt;=24,INDEX(Engine_Grid,0+$AB40,$AD40)=0,INDEX(Engine_Grid,0+$AB40,$AD40+1)=0),0,INDEX(Engine_Grid,0+$AB40,$AD40)*(1-$AE40)+INDEX(Engine_Grid,0+$AB40,$AD40+1)*$AE40)))*IF(N($D40)&lt;1,1,$D40))</f>
        <v>0</v>
      </c>
      <c r="AI40" s="39" t="n">
        <f aca="false">IF(N($F40)&lt;=0,0,$F40/100*IF(OR($AB40="",$AC40="",N($AC40)&lt;1,N($AC40)&gt;24),0,IF($AE40=0,INDEX(Engine_Grid,75+$AB40,$AD40),IF(OR($AD40&gt;=24,INDEX(Engine_Grid,75+$AB40,$AD40)=0,INDEX(Engine_Grid,75+$AB40,$AD40+1)=0),0,INDEX(Engine_Grid,75+$AB40,$AD40)*(1-$AE40)+INDEX(Engine_Grid,75+$AB40,$AD40+1)*$AE40)))*IF(N($D40)&lt;1,1,$D40))</f>
        <v>0</v>
      </c>
      <c r="AJ40" s="39" t="n">
        <f aca="false">IF(N($F40)&lt;=0,0,$F40/100*IF(OR($AB40="",$AC40="",N($AC40)&lt;1,N($AC40)&gt;24),0,IF($AE40=0,INDEX(Engine_Grid,150+$AB40,$AD40),IF(OR($AD40&gt;=24,INDEX(Engine_Grid,150+$AB40,$AD40)=0,INDEX(Engine_Grid,150+$AB40,$AD40+1)=0),0,INDEX(Engine_Grid,150+$AB40,$AD40)*(1-$AE40)+INDEX(Engine_Grid,150+$AB40,$AD40+1)*$AE40)))*IF(N($D40)&lt;1,1,$D40))</f>
        <v>0</v>
      </c>
      <c r="AK40" s="39" t="n">
        <f aca="false">IF(N($F40)&lt;=0,0,$F40/100*IF(OR($AB40="",$AC40="",N($AC40)&lt;1,N($AC40)&gt;24),0,IF($AE40=0,INDEX(Engine_Grid,225+$AB40,$AD40),IF(OR($AD40&gt;=24,INDEX(Engine_Grid,225+$AB40,$AD40)=0,INDEX(Engine_Grid,225+$AB40,$AD40+1)=0),0,INDEX(Engine_Grid,225+$AB40,$AD40)*(1-$AE40)+INDEX(Engine_Grid,225+$AB40,$AD40+1)*$AE40)))*IF(N($D40)&lt;1,1,$D40))</f>
        <v>0</v>
      </c>
    </row>
    <row r="41" customFormat="false" ht="15" hidden="false" customHeight="false" outlineLevel="0" collapsed="false">
      <c r="A41" s="31" t="n">
        <v>32</v>
      </c>
      <c r="B41" s="11"/>
      <c r="C41" s="11"/>
      <c r="D41" s="32"/>
      <c r="E41" s="33"/>
      <c r="F41" s="34"/>
      <c r="G41" s="35" t="str">
        <f aca="false">IF($AB41="","",IF(INDEX(Lib_Basis,$AB41)="Piece","pcs","cm"))</f>
        <v/>
      </c>
      <c r="H41" s="36" t="n">
        <f aca="false">IF(OR($AB41="",$AC41="",N($AC41)&lt;1,N($AC41)&gt;24),0,IF($AE41=0,INDEX(Engine_Grid,(WeightIdx-1)*75+$AB41,$AD41),IF(OR($AD41&gt;=24,INDEX(Engine_Grid,(WeightIdx-1)*75+$AB41,$AD41)=0,INDEX(Engine_Grid,(WeightIdx-1)*75+$AB41,$AD41+1)=0),0,INDEX(Engine_Grid,(WeightIdx-1)*75+$AB41,$AD41)*(1-$AE41)+INDEX(Engine_Grid,(WeightIdx-1)*75+$AB41,$AD41+1)*$AE41)))</f>
        <v>0</v>
      </c>
      <c r="I41" s="37" t="n">
        <f aca="false">IF(OR($H41=0,N($F41)&lt;=0),0,$F41/100*$H41*IF(N($D41)&lt;1,1,$D41))</f>
        <v>0</v>
      </c>
      <c r="J41" s="38" t="str">
        <f aca="false">IF($AB41="","",INDEX(Lib_Needle,$AB41))</f>
        <v/>
      </c>
      <c r="K41" s="38" t="str">
        <f aca="false">IF($AB41="","",INDEX(Lib_Bobbin,$AB41))</f>
        <v/>
      </c>
      <c r="L41" s="38" t="str">
        <f aca="false">IF($AB41="","",INDEX(Lib_Looper,$AB41))</f>
        <v/>
      </c>
      <c r="M41" s="38" t="str">
        <f aca="false">IF($AB41="","",INDEX(Lib_Cover,$AB41))</f>
        <v/>
      </c>
      <c r="N41" s="11"/>
      <c r="O41" s="39" t="n">
        <f aca="false">IF($I41=0,0,IF($AF41="Y",$I41*$J41/IF(N($D41)&lt;1,1,$D41),$I41*$J41))</f>
        <v>0</v>
      </c>
      <c r="P41" s="11"/>
      <c r="Q41" s="39" t="n">
        <f aca="false">IF(AND($I41&gt;0,$AF41="Y",IF(N($D41)&lt;1,1,$D41)&gt;=2),$I41*$J41/IF(N($D41)&lt;1,1,$D41),0)</f>
        <v>0</v>
      </c>
      <c r="R41" s="11"/>
      <c r="S41" s="39" t="n">
        <f aca="false">IF(AND($I41&gt;0,$AF41="Y",IF(N($D41)&lt;1,1,$D41)&gt;=3),$I41*$J41/IF(N($D41)&lt;1,1,$D41),0)</f>
        <v>0</v>
      </c>
      <c r="T41" s="11"/>
      <c r="U41" s="39" t="n">
        <f aca="false">IF($I41=0,0,$I41*$K41)</f>
        <v>0</v>
      </c>
      <c r="V41" s="11"/>
      <c r="W41" s="39" t="n">
        <f aca="false">IF($I41=0,0,$I41*$L41)</f>
        <v>0</v>
      </c>
      <c r="X41" s="11"/>
      <c r="Y41" s="39" t="n">
        <f aca="false">IF($I41=0,0,$I41*$M41)</f>
        <v>0</v>
      </c>
      <c r="Z41" s="39" t="n">
        <f aca="false">IF($N41="",$O41,0)+IF($P41="",$Q41,0)+IF($R41="",$S41,0)+IF($T41="",$U41,0)+IF($V41="",$W41,0)+IF($X41="",$Y41,0)+IF(AND($AF41="Y",IF(N($D41)&lt;1,1,$D41)&gt;3),$I41*$J41*(IF(N($D41)&lt;1,1,$D41)-3)/IF(N($D41)&lt;1,1,$D41),0)</f>
        <v>0</v>
      </c>
      <c r="AA41" s="40" t="str">
        <f aca="false">IF(AND($C41="",N($F41)=0),"",IF($C41="","⚠ Select a stitch type",IF($AB41="","⚠ Stitch not in library",IF(N($F41)&lt;=0,"⚠ Enter "&amp;IF($G41="pcs","quantity","seam length (cm)"),IF(AND($G41="cm",N($E41)&lt;=0),"⚠ Enter SPI",IF($H41=0,"⚠ No factor at SPI "&amp;$E41&amp;" – valid "&amp;INDEX(Lib_MinSPI,$AB41)&amp;"–"&amp;INDEX(Lib_MaxSPI,$AB41),IF(AND($AF41="Y",IF(N($D41)&lt;1,1,$D41)&gt;3),"⚠ More than 3 rows – thread for extra rows not allocated",IF($Z41&gt;0.00001,"⚠ Assign threads ("&amp;TEXT($Z41,"0.00")&amp;" m unassigned)","✔ OK"))))))))</f>
        <v/>
      </c>
      <c r="AB41" s="16" t="str">
        <f aca="false">IF($C41="","",IFERROR(MATCH($C41,Lib_Names,0),""))</f>
        <v/>
      </c>
      <c r="AC41" s="41" t="str">
        <f aca="false">IF($AB41="","",IF(INDEX(Lib_Basis,$AB41)="Piece",1,N($E41)))</f>
        <v/>
      </c>
      <c r="AD41" s="16" t="str">
        <f aca="false">IF($AC41="","",INT($AC41))</f>
        <v/>
      </c>
      <c r="AE41" s="17" t="str">
        <f aca="false">IF($AC41="","",$AC41-$AD41)</f>
        <v/>
      </c>
      <c r="AF41" s="35" t="str">
        <f aca="false">IF($AB41="","",INDEX(Lib_Multi,$AB41))</f>
        <v/>
      </c>
      <c r="AG41" s="42" t="str">
        <f aca="false">IF($AB41="","",INDEX(Lib_Cat,$AB41))</f>
        <v/>
      </c>
      <c r="AH41" s="39" t="n">
        <f aca="false">IF(N($F41)&lt;=0,0,$F41/100*IF(OR($AB41="",$AC41="",N($AC41)&lt;1,N($AC41)&gt;24),0,IF($AE41=0,INDEX(Engine_Grid,0+$AB41,$AD41),IF(OR($AD41&gt;=24,INDEX(Engine_Grid,0+$AB41,$AD41)=0,INDEX(Engine_Grid,0+$AB41,$AD41+1)=0),0,INDEX(Engine_Grid,0+$AB41,$AD41)*(1-$AE41)+INDEX(Engine_Grid,0+$AB41,$AD41+1)*$AE41)))*IF(N($D41)&lt;1,1,$D41))</f>
        <v>0</v>
      </c>
      <c r="AI41" s="39" t="n">
        <f aca="false">IF(N($F41)&lt;=0,0,$F41/100*IF(OR($AB41="",$AC41="",N($AC41)&lt;1,N($AC41)&gt;24),0,IF($AE41=0,INDEX(Engine_Grid,75+$AB41,$AD41),IF(OR($AD41&gt;=24,INDEX(Engine_Grid,75+$AB41,$AD41)=0,INDEX(Engine_Grid,75+$AB41,$AD41+1)=0),0,INDEX(Engine_Grid,75+$AB41,$AD41)*(1-$AE41)+INDEX(Engine_Grid,75+$AB41,$AD41+1)*$AE41)))*IF(N($D41)&lt;1,1,$D41))</f>
        <v>0</v>
      </c>
      <c r="AJ41" s="39" t="n">
        <f aca="false">IF(N($F41)&lt;=0,0,$F41/100*IF(OR($AB41="",$AC41="",N($AC41)&lt;1,N($AC41)&gt;24),0,IF($AE41=0,INDEX(Engine_Grid,150+$AB41,$AD41),IF(OR($AD41&gt;=24,INDEX(Engine_Grid,150+$AB41,$AD41)=0,INDEX(Engine_Grid,150+$AB41,$AD41+1)=0),0,INDEX(Engine_Grid,150+$AB41,$AD41)*(1-$AE41)+INDEX(Engine_Grid,150+$AB41,$AD41+1)*$AE41)))*IF(N($D41)&lt;1,1,$D41))</f>
        <v>0</v>
      </c>
      <c r="AK41" s="39" t="n">
        <f aca="false">IF(N($F41)&lt;=0,0,$F41/100*IF(OR($AB41="",$AC41="",N($AC41)&lt;1,N($AC41)&gt;24),0,IF($AE41=0,INDEX(Engine_Grid,225+$AB41,$AD41),IF(OR($AD41&gt;=24,INDEX(Engine_Grid,225+$AB41,$AD41)=0,INDEX(Engine_Grid,225+$AB41,$AD41+1)=0),0,INDEX(Engine_Grid,225+$AB41,$AD41)*(1-$AE41)+INDEX(Engine_Grid,225+$AB41,$AD41+1)*$AE41)))*IF(N($D41)&lt;1,1,$D41))</f>
        <v>0</v>
      </c>
    </row>
    <row r="42" customFormat="false" ht="15" hidden="false" customHeight="false" outlineLevel="0" collapsed="false">
      <c r="A42" s="31" t="n">
        <v>33</v>
      </c>
      <c r="B42" s="11"/>
      <c r="C42" s="11"/>
      <c r="D42" s="32"/>
      <c r="E42" s="33"/>
      <c r="F42" s="34"/>
      <c r="G42" s="35" t="str">
        <f aca="false">IF($AB42="","",IF(INDEX(Lib_Basis,$AB42)="Piece","pcs","cm"))</f>
        <v/>
      </c>
      <c r="H42" s="36" t="n">
        <f aca="false">IF(OR($AB42="",$AC42="",N($AC42)&lt;1,N($AC42)&gt;24),0,IF($AE42=0,INDEX(Engine_Grid,(WeightIdx-1)*75+$AB42,$AD42),IF(OR($AD42&gt;=24,INDEX(Engine_Grid,(WeightIdx-1)*75+$AB42,$AD42)=0,INDEX(Engine_Grid,(WeightIdx-1)*75+$AB42,$AD42+1)=0),0,INDEX(Engine_Grid,(WeightIdx-1)*75+$AB42,$AD42)*(1-$AE42)+INDEX(Engine_Grid,(WeightIdx-1)*75+$AB42,$AD42+1)*$AE42)))</f>
        <v>0</v>
      </c>
      <c r="I42" s="37" t="n">
        <f aca="false">IF(OR($H42=0,N($F42)&lt;=0),0,$F42/100*$H42*IF(N($D42)&lt;1,1,$D42))</f>
        <v>0</v>
      </c>
      <c r="J42" s="38" t="str">
        <f aca="false">IF($AB42="","",INDEX(Lib_Needle,$AB42))</f>
        <v/>
      </c>
      <c r="K42" s="38" t="str">
        <f aca="false">IF($AB42="","",INDEX(Lib_Bobbin,$AB42))</f>
        <v/>
      </c>
      <c r="L42" s="38" t="str">
        <f aca="false">IF($AB42="","",INDEX(Lib_Looper,$AB42))</f>
        <v/>
      </c>
      <c r="M42" s="38" t="str">
        <f aca="false">IF($AB42="","",INDEX(Lib_Cover,$AB42))</f>
        <v/>
      </c>
      <c r="N42" s="11"/>
      <c r="O42" s="39" t="n">
        <f aca="false">IF($I42=0,0,IF($AF42="Y",$I42*$J42/IF(N($D42)&lt;1,1,$D42),$I42*$J42))</f>
        <v>0</v>
      </c>
      <c r="P42" s="11"/>
      <c r="Q42" s="39" t="n">
        <f aca="false">IF(AND($I42&gt;0,$AF42="Y",IF(N($D42)&lt;1,1,$D42)&gt;=2),$I42*$J42/IF(N($D42)&lt;1,1,$D42),0)</f>
        <v>0</v>
      </c>
      <c r="R42" s="11"/>
      <c r="S42" s="39" t="n">
        <f aca="false">IF(AND($I42&gt;0,$AF42="Y",IF(N($D42)&lt;1,1,$D42)&gt;=3),$I42*$J42/IF(N($D42)&lt;1,1,$D42),0)</f>
        <v>0</v>
      </c>
      <c r="T42" s="11"/>
      <c r="U42" s="39" t="n">
        <f aca="false">IF($I42=0,0,$I42*$K42)</f>
        <v>0</v>
      </c>
      <c r="V42" s="11"/>
      <c r="W42" s="39" t="n">
        <f aca="false">IF($I42=0,0,$I42*$L42)</f>
        <v>0</v>
      </c>
      <c r="X42" s="11"/>
      <c r="Y42" s="39" t="n">
        <f aca="false">IF($I42=0,0,$I42*$M42)</f>
        <v>0</v>
      </c>
      <c r="Z42" s="39" t="n">
        <f aca="false">IF($N42="",$O42,0)+IF($P42="",$Q42,0)+IF($R42="",$S42,0)+IF($T42="",$U42,0)+IF($V42="",$W42,0)+IF($X42="",$Y42,0)+IF(AND($AF42="Y",IF(N($D42)&lt;1,1,$D42)&gt;3),$I42*$J42*(IF(N($D42)&lt;1,1,$D42)-3)/IF(N($D42)&lt;1,1,$D42),0)</f>
        <v>0</v>
      </c>
      <c r="AA42" s="40" t="str">
        <f aca="false">IF(AND($C42="",N($F42)=0),"",IF($C42="","⚠ Select a stitch type",IF($AB42="","⚠ Stitch not in library",IF(N($F42)&lt;=0,"⚠ Enter "&amp;IF($G42="pcs","quantity","seam length (cm)"),IF(AND($G42="cm",N($E42)&lt;=0),"⚠ Enter SPI",IF($H42=0,"⚠ No factor at SPI "&amp;$E42&amp;" – valid "&amp;INDEX(Lib_MinSPI,$AB42)&amp;"–"&amp;INDEX(Lib_MaxSPI,$AB42),IF(AND($AF42="Y",IF(N($D42)&lt;1,1,$D42)&gt;3),"⚠ More than 3 rows – thread for extra rows not allocated",IF($Z42&gt;0.00001,"⚠ Assign threads ("&amp;TEXT($Z42,"0.00")&amp;" m unassigned)","✔ OK"))))))))</f>
        <v/>
      </c>
      <c r="AB42" s="16" t="str">
        <f aca="false">IF($C42="","",IFERROR(MATCH($C42,Lib_Names,0),""))</f>
        <v/>
      </c>
      <c r="AC42" s="41" t="str">
        <f aca="false">IF($AB42="","",IF(INDEX(Lib_Basis,$AB42)="Piece",1,N($E42)))</f>
        <v/>
      </c>
      <c r="AD42" s="16" t="str">
        <f aca="false">IF($AC42="","",INT($AC42))</f>
        <v/>
      </c>
      <c r="AE42" s="17" t="str">
        <f aca="false">IF($AC42="","",$AC42-$AD42)</f>
        <v/>
      </c>
      <c r="AF42" s="35" t="str">
        <f aca="false">IF($AB42="","",INDEX(Lib_Multi,$AB42))</f>
        <v/>
      </c>
      <c r="AG42" s="42" t="str">
        <f aca="false">IF($AB42="","",INDEX(Lib_Cat,$AB42))</f>
        <v/>
      </c>
      <c r="AH42" s="39" t="n">
        <f aca="false">IF(N($F42)&lt;=0,0,$F42/100*IF(OR($AB42="",$AC42="",N($AC42)&lt;1,N($AC42)&gt;24),0,IF($AE42=0,INDEX(Engine_Grid,0+$AB42,$AD42),IF(OR($AD42&gt;=24,INDEX(Engine_Grid,0+$AB42,$AD42)=0,INDEX(Engine_Grid,0+$AB42,$AD42+1)=0),0,INDEX(Engine_Grid,0+$AB42,$AD42)*(1-$AE42)+INDEX(Engine_Grid,0+$AB42,$AD42+1)*$AE42)))*IF(N($D42)&lt;1,1,$D42))</f>
        <v>0</v>
      </c>
      <c r="AI42" s="39" t="n">
        <f aca="false">IF(N($F42)&lt;=0,0,$F42/100*IF(OR($AB42="",$AC42="",N($AC42)&lt;1,N($AC42)&gt;24),0,IF($AE42=0,INDEX(Engine_Grid,75+$AB42,$AD42),IF(OR($AD42&gt;=24,INDEX(Engine_Grid,75+$AB42,$AD42)=0,INDEX(Engine_Grid,75+$AB42,$AD42+1)=0),0,INDEX(Engine_Grid,75+$AB42,$AD42)*(1-$AE42)+INDEX(Engine_Grid,75+$AB42,$AD42+1)*$AE42)))*IF(N($D42)&lt;1,1,$D42))</f>
        <v>0</v>
      </c>
      <c r="AJ42" s="39" t="n">
        <f aca="false">IF(N($F42)&lt;=0,0,$F42/100*IF(OR($AB42="",$AC42="",N($AC42)&lt;1,N($AC42)&gt;24),0,IF($AE42=0,INDEX(Engine_Grid,150+$AB42,$AD42),IF(OR($AD42&gt;=24,INDEX(Engine_Grid,150+$AB42,$AD42)=0,INDEX(Engine_Grid,150+$AB42,$AD42+1)=0),0,INDEX(Engine_Grid,150+$AB42,$AD42)*(1-$AE42)+INDEX(Engine_Grid,150+$AB42,$AD42+1)*$AE42)))*IF(N($D42)&lt;1,1,$D42))</f>
        <v>0</v>
      </c>
      <c r="AK42" s="39" t="n">
        <f aca="false">IF(N($F42)&lt;=0,0,$F42/100*IF(OR($AB42="",$AC42="",N($AC42)&lt;1,N($AC42)&gt;24),0,IF($AE42=0,INDEX(Engine_Grid,225+$AB42,$AD42),IF(OR($AD42&gt;=24,INDEX(Engine_Grid,225+$AB42,$AD42)=0,INDEX(Engine_Grid,225+$AB42,$AD42+1)=0),0,INDEX(Engine_Grid,225+$AB42,$AD42)*(1-$AE42)+INDEX(Engine_Grid,225+$AB42,$AD42+1)*$AE42)))*IF(N($D42)&lt;1,1,$D42))</f>
        <v>0</v>
      </c>
    </row>
    <row r="43" customFormat="false" ht="15" hidden="false" customHeight="false" outlineLevel="0" collapsed="false">
      <c r="A43" s="31" t="n">
        <v>34</v>
      </c>
      <c r="B43" s="11"/>
      <c r="C43" s="11"/>
      <c r="D43" s="32"/>
      <c r="E43" s="33"/>
      <c r="F43" s="34"/>
      <c r="G43" s="35" t="str">
        <f aca="false">IF($AB43="","",IF(INDEX(Lib_Basis,$AB43)="Piece","pcs","cm"))</f>
        <v/>
      </c>
      <c r="H43" s="36" t="n">
        <f aca="false">IF(OR($AB43="",$AC43="",N($AC43)&lt;1,N($AC43)&gt;24),0,IF($AE43=0,INDEX(Engine_Grid,(WeightIdx-1)*75+$AB43,$AD43),IF(OR($AD43&gt;=24,INDEX(Engine_Grid,(WeightIdx-1)*75+$AB43,$AD43)=0,INDEX(Engine_Grid,(WeightIdx-1)*75+$AB43,$AD43+1)=0),0,INDEX(Engine_Grid,(WeightIdx-1)*75+$AB43,$AD43)*(1-$AE43)+INDEX(Engine_Grid,(WeightIdx-1)*75+$AB43,$AD43+1)*$AE43)))</f>
        <v>0</v>
      </c>
      <c r="I43" s="37" t="n">
        <f aca="false">IF(OR($H43=0,N($F43)&lt;=0),0,$F43/100*$H43*IF(N($D43)&lt;1,1,$D43))</f>
        <v>0</v>
      </c>
      <c r="J43" s="38" t="str">
        <f aca="false">IF($AB43="","",INDEX(Lib_Needle,$AB43))</f>
        <v/>
      </c>
      <c r="K43" s="38" t="str">
        <f aca="false">IF($AB43="","",INDEX(Lib_Bobbin,$AB43))</f>
        <v/>
      </c>
      <c r="L43" s="38" t="str">
        <f aca="false">IF($AB43="","",INDEX(Lib_Looper,$AB43))</f>
        <v/>
      </c>
      <c r="M43" s="38" t="str">
        <f aca="false">IF($AB43="","",INDEX(Lib_Cover,$AB43))</f>
        <v/>
      </c>
      <c r="N43" s="11"/>
      <c r="O43" s="39" t="n">
        <f aca="false">IF($I43=0,0,IF($AF43="Y",$I43*$J43/IF(N($D43)&lt;1,1,$D43),$I43*$J43))</f>
        <v>0</v>
      </c>
      <c r="P43" s="11"/>
      <c r="Q43" s="39" t="n">
        <f aca="false">IF(AND($I43&gt;0,$AF43="Y",IF(N($D43)&lt;1,1,$D43)&gt;=2),$I43*$J43/IF(N($D43)&lt;1,1,$D43),0)</f>
        <v>0</v>
      </c>
      <c r="R43" s="11"/>
      <c r="S43" s="39" t="n">
        <f aca="false">IF(AND($I43&gt;0,$AF43="Y",IF(N($D43)&lt;1,1,$D43)&gt;=3),$I43*$J43/IF(N($D43)&lt;1,1,$D43),0)</f>
        <v>0</v>
      </c>
      <c r="T43" s="11"/>
      <c r="U43" s="39" t="n">
        <f aca="false">IF($I43=0,0,$I43*$K43)</f>
        <v>0</v>
      </c>
      <c r="V43" s="11"/>
      <c r="W43" s="39" t="n">
        <f aca="false">IF($I43=0,0,$I43*$L43)</f>
        <v>0</v>
      </c>
      <c r="X43" s="11"/>
      <c r="Y43" s="39" t="n">
        <f aca="false">IF($I43=0,0,$I43*$M43)</f>
        <v>0</v>
      </c>
      <c r="Z43" s="39" t="n">
        <f aca="false">IF($N43="",$O43,0)+IF($P43="",$Q43,0)+IF($R43="",$S43,0)+IF($T43="",$U43,0)+IF($V43="",$W43,0)+IF($X43="",$Y43,0)+IF(AND($AF43="Y",IF(N($D43)&lt;1,1,$D43)&gt;3),$I43*$J43*(IF(N($D43)&lt;1,1,$D43)-3)/IF(N($D43)&lt;1,1,$D43),0)</f>
        <v>0</v>
      </c>
      <c r="AA43" s="40" t="str">
        <f aca="false">IF(AND($C43="",N($F43)=0),"",IF($C43="","⚠ Select a stitch type",IF($AB43="","⚠ Stitch not in library",IF(N($F43)&lt;=0,"⚠ Enter "&amp;IF($G43="pcs","quantity","seam length (cm)"),IF(AND($G43="cm",N($E43)&lt;=0),"⚠ Enter SPI",IF($H43=0,"⚠ No factor at SPI "&amp;$E43&amp;" – valid "&amp;INDEX(Lib_MinSPI,$AB43)&amp;"–"&amp;INDEX(Lib_MaxSPI,$AB43),IF(AND($AF43="Y",IF(N($D43)&lt;1,1,$D43)&gt;3),"⚠ More than 3 rows – thread for extra rows not allocated",IF($Z43&gt;0.00001,"⚠ Assign threads ("&amp;TEXT($Z43,"0.00")&amp;" m unassigned)","✔ OK"))))))))</f>
        <v/>
      </c>
      <c r="AB43" s="16" t="str">
        <f aca="false">IF($C43="","",IFERROR(MATCH($C43,Lib_Names,0),""))</f>
        <v/>
      </c>
      <c r="AC43" s="41" t="str">
        <f aca="false">IF($AB43="","",IF(INDEX(Lib_Basis,$AB43)="Piece",1,N($E43)))</f>
        <v/>
      </c>
      <c r="AD43" s="16" t="str">
        <f aca="false">IF($AC43="","",INT($AC43))</f>
        <v/>
      </c>
      <c r="AE43" s="17" t="str">
        <f aca="false">IF($AC43="","",$AC43-$AD43)</f>
        <v/>
      </c>
      <c r="AF43" s="35" t="str">
        <f aca="false">IF($AB43="","",INDEX(Lib_Multi,$AB43))</f>
        <v/>
      </c>
      <c r="AG43" s="42" t="str">
        <f aca="false">IF($AB43="","",INDEX(Lib_Cat,$AB43))</f>
        <v/>
      </c>
      <c r="AH43" s="39" t="n">
        <f aca="false">IF(N($F43)&lt;=0,0,$F43/100*IF(OR($AB43="",$AC43="",N($AC43)&lt;1,N($AC43)&gt;24),0,IF($AE43=0,INDEX(Engine_Grid,0+$AB43,$AD43),IF(OR($AD43&gt;=24,INDEX(Engine_Grid,0+$AB43,$AD43)=0,INDEX(Engine_Grid,0+$AB43,$AD43+1)=0),0,INDEX(Engine_Grid,0+$AB43,$AD43)*(1-$AE43)+INDEX(Engine_Grid,0+$AB43,$AD43+1)*$AE43)))*IF(N($D43)&lt;1,1,$D43))</f>
        <v>0</v>
      </c>
      <c r="AI43" s="39" t="n">
        <f aca="false">IF(N($F43)&lt;=0,0,$F43/100*IF(OR($AB43="",$AC43="",N($AC43)&lt;1,N($AC43)&gt;24),0,IF($AE43=0,INDEX(Engine_Grid,75+$AB43,$AD43),IF(OR($AD43&gt;=24,INDEX(Engine_Grid,75+$AB43,$AD43)=0,INDEX(Engine_Grid,75+$AB43,$AD43+1)=0),0,INDEX(Engine_Grid,75+$AB43,$AD43)*(1-$AE43)+INDEX(Engine_Grid,75+$AB43,$AD43+1)*$AE43)))*IF(N($D43)&lt;1,1,$D43))</f>
        <v>0</v>
      </c>
      <c r="AJ43" s="39" t="n">
        <f aca="false">IF(N($F43)&lt;=0,0,$F43/100*IF(OR($AB43="",$AC43="",N($AC43)&lt;1,N($AC43)&gt;24),0,IF($AE43=0,INDEX(Engine_Grid,150+$AB43,$AD43),IF(OR($AD43&gt;=24,INDEX(Engine_Grid,150+$AB43,$AD43)=0,INDEX(Engine_Grid,150+$AB43,$AD43+1)=0),0,INDEX(Engine_Grid,150+$AB43,$AD43)*(1-$AE43)+INDEX(Engine_Grid,150+$AB43,$AD43+1)*$AE43)))*IF(N($D43)&lt;1,1,$D43))</f>
        <v>0</v>
      </c>
      <c r="AK43" s="39" t="n">
        <f aca="false">IF(N($F43)&lt;=0,0,$F43/100*IF(OR($AB43="",$AC43="",N($AC43)&lt;1,N($AC43)&gt;24),0,IF($AE43=0,INDEX(Engine_Grid,225+$AB43,$AD43),IF(OR($AD43&gt;=24,INDEX(Engine_Grid,225+$AB43,$AD43)=0,INDEX(Engine_Grid,225+$AB43,$AD43+1)=0),0,INDEX(Engine_Grid,225+$AB43,$AD43)*(1-$AE43)+INDEX(Engine_Grid,225+$AB43,$AD43+1)*$AE43)))*IF(N($D43)&lt;1,1,$D43))</f>
        <v>0</v>
      </c>
    </row>
    <row r="44" customFormat="false" ht="15" hidden="false" customHeight="false" outlineLevel="0" collapsed="false">
      <c r="A44" s="31" t="n">
        <v>35</v>
      </c>
      <c r="B44" s="11"/>
      <c r="C44" s="11"/>
      <c r="D44" s="32"/>
      <c r="E44" s="33"/>
      <c r="F44" s="34"/>
      <c r="G44" s="35" t="str">
        <f aca="false">IF($AB44="","",IF(INDEX(Lib_Basis,$AB44)="Piece","pcs","cm"))</f>
        <v/>
      </c>
      <c r="H44" s="36" t="n">
        <f aca="false">IF(OR($AB44="",$AC44="",N($AC44)&lt;1,N($AC44)&gt;24),0,IF($AE44=0,INDEX(Engine_Grid,(WeightIdx-1)*75+$AB44,$AD44),IF(OR($AD44&gt;=24,INDEX(Engine_Grid,(WeightIdx-1)*75+$AB44,$AD44)=0,INDEX(Engine_Grid,(WeightIdx-1)*75+$AB44,$AD44+1)=0),0,INDEX(Engine_Grid,(WeightIdx-1)*75+$AB44,$AD44)*(1-$AE44)+INDEX(Engine_Grid,(WeightIdx-1)*75+$AB44,$AD44+1)*$AE44)))</f>
        <v>0</v>
      </c>
      <c r="I44" s="37" t="n">
        <f aca="false">IF(OR($H44=0,N($F44)&lt;=0),0,$F44/100*$H44*IF(N($D44)&lt;1,1,$D44))</f>
        <v>0</v>
      </c>
      <c r="J44" s="38" t="str">
        <f aca="false">IF($AB44="","",INDEX(Lib_Needle,$AB44))</f>
        <v/>
      </c>
      <c r="K44" s="38" t="str">
        <f aca="false">IF($AB44="","",INDEX(Lib_Bobbin,$AB44))</f>
        <v/>
      </c>
      <c r="L44" s="38" t="str">
        <f aca="false">IF($AB44="","",INDEX(Lib_Looper,$AB44))</f>
        <v/>
      </c>
      <c r="M44" s="38" t="str">
        <f aca="false">IF($AB44="","",INDEX(Lib_Cover,$AB44))</f>
        <v/>
      </c>
      <c r="N44" s="11"/>
      <c r="O44" s="39" t="n">
        <f aca="false">IF($I44=0,0,IF($AF44="Y",$I44*$J44/IF(N($D44)&lt;1,1,$D44),$I44*$J44))</f>
        <v>0</v>
      </c>
      <c r="P44" s="11"/>
      <c r="Q44" s="39" t="n">
        <f aca="false">IF(AND($I44&gt;0,$AF44="Y",IF(N($D44)&lt;1,1,$D44)&gt;=2),$I44*$J44/IF(N($D44)&lt;1,1,$D44),0)</f>
        <v>0</v>
      </c>
      <c r="R44" s="11"/>
      <c r="S44" s="39" t="n">
        <f aca="false">IF(AND($I44&gt;0,$AF44="Y",IF(N($D44)&lt;1,1,$D44)&gt;=3),$I44*$J44/IF(N($D44)&lt;1,1,$D44),0)</f>
        <v>0</v>
      </c>
      <c r="T44" s="11"/>
      <c r="U44" s="39" t="n">
        <f aca="false">IF($I44=0,0,$I44*$K44)</f>
        <v>0</v>
      </c>
      <c r="V44" s="11"/>
      <c r="W44" s="39" t="n">
        <f aca="false">IF($I44=0,0,$I44*$L44)</f>
        <v>0</v>
      </c>
      <c r="X44" s="11"/>
      <c r="Y44" s="39" t="n">
        <f aca="false">IF($I44=0,0,$I44*$M44)</f>
        <v>0</v>
      </c>
      <c r="Z44" s="39" t="n">
        <f aca="false">IF($N44="",$O44,0)+IF($P44="",$Q44,0)+IF($R44="",$S44,0)+IF($T44="",$U44,0)+IF($V44="",$W44,0)+IF($X44="",$Y44,0)+IF(AND($AF44="Y",IF(N($D44)&lt;1,1,$D44)&gt;3),$I44*$J44*(IF(N($D44)&lt;1,1,$D44)-3)/IF(N($D44)&lt;1,1,$D44),0)</f>
        <v>0</v>
      </c>
      <c r="AA44" s="40" t="str">
        <f aca="false">IF(AND($C44="",N($F44)=0),"",IF($C44="","⚠ Select a stitch type",IF($AB44="","⚠ Stitch not in library",IF(N($F44)&lt;=0,"⚠ Enter "&amp;IF($G44="pcs","quantity","seam length (cm)"),IF(AND($G44="cm",N($E44)&lt;=0),"⚠ Enter SPI",IF($H44=0,"⚠ No factor at SPI "&amp;$E44&amp;" – valid "&amp;INDEX(Lib_MinSPI,$AB44)&amp;"–"&amp;INDEX(Lib_MaxSPI,$AB44),IF(AND($AF44="Y",IF(N($D44)&lt;1,1,$D44)&gt;3),"⚠ More than 3 rows – thread for extra rows not allocated",IF($Z44&gt;0.00001,"⚠ Assign threads ("&amp;TEXT($Z44,"0.00")&amp;" m unassigned)","✔ OK"))))))))</f>
        <v/>
      </c>
      <c r="AB44" s="16" t="str">
        <f aca="false">IF($C44="","",IFERROR(MATCH($C44,Lib_Names,0),""))</f>
        <v/>
      </c>
      <c r="AC44" s="41" t="str">
        <f aca="false">IF($AB44="","",IF(INDEX(Lib_Basis,$AB44)="Piece",1,N($E44)))</f>
        <v/>
      </c>
      <c r="AD44" s="16" t="str">
        <f aca="false">IF($AC44="","",INT($AC44))</f>
        <v/>
      </c>
      <c r="AE44" s="17" t="str">
        <f aca="false">IF($AC44="","",$AC44-$AD44)</f>
        <v/>
      </c>
      <c r="AF44" s="35" t="str">
        <f aca="false">IF($AB44="","",INDEX(Lib_Multi,$AB44))</f>
        <v/>
      </c>
      <c r="AG44" s="42" t="str">
        <f aca="false">IF($AB44="","",INDEX(Lib_Cat,$AB44))</f>
        <v/>
      </c>
      <c r="AH44" s="39" t="n">
        <f aca="false">IF(N($F44)&lt;=0,0,$F44/100*IF(OR($AB44="",$AC44="",N($AC44)&lt;1,N($AC44)&gt;24),0,IF($AE44=0,INDEX(Engine_Grid,0+$AB44,$AD44),IF(OR($AD44&gt;=24,INDEX(Engine_Grid,0+$AB44,$AD44)=0,INDEX(Engine_Grid,0+$AB44,$AD44+1)=0),0,INDEX(Engine_Grid,0+$AB44,$AD44)*(1-$AE44)+INDEX(Engine_Grid,0+$AB44,$AD44+1)*$AE44)))*IF(N($D44)&lt;1,1,$D44))</f>
        <v>0</v>
      </c>
      <c r="AI44" s="39" t="n">
        <f aca="false">IF(N($F44)&lt;=0,0,$F44/100*IF(OR($AB44="",$AC44="",N($AC44)&lt;1,N($AC44)&gt;24),0,IF($AE44=0,INDEX(Engine_Grid,75+$AB44,$AD44),IF(OR($AD44&gt;=24,INDEX(Engine_Grid,75+$AB44,$AD44)=0,INDEX(Engine_Grid,75+$AB44,$AD44+1)=0),0,INDEX(Engine_Grid,75+$AB44,$AD44)*(1-$AE44)+INDEX(Engine_Grid,75+$AB44,$AD44+1)*$AE44)))*IF(N($D44)&lt;1,1,$D44))</f>
        <v>0</v>
      </c>
      <c r="AJ44" s="39" t="n">
        <f aca="false">IF(N($F44)&lt;=0,0,$F44/100*IF(OR($AB44="",$AC44="",N($AC44)&lt;1,N($AC44)&gt;24),0,IF($AE44=0,INDEX(Engine_Grid,150+$AB44,$AD44),IF(OR($AD44&gt;=24,INDEX(Engine_Grid,150+$AB44,$AD44)=0,INDEX(Engine_Grid,150+$AB44,$AD44+1)=0),0,INDEX(Engine_Grid,150+$AB44,$AD44)*(1-$AE44)+INDEX(Engine_Grid,150+$AB44,$AD44+1)*$AE44)))*IF(N($D44)&lt;1,1,$D44))</f>
        <v>0</v>
      </c>
      <c r="AK44" s="39" t="n">
        <f aca="false">IF(N($F44)&lt;=0,0,$F44/100*IF(OR($AB44="",$AC44="",N($AC44)&lt;1,N($AC44)&gt;24),0,IF($AE44=0,INDEX(Engine_Grid,225+$AB44,$AD44),IF(OR($AD44&gt;=24,INDEX(Engine_Grid,225+$AB44,$AD44)=0,INDEX(Engine_Grid,225+$AB44,$AD44+1)=0),0,INDEX(Engine_Grid,225+$AB44,$AD44)*(1-$AE44)+INDEX(Engine_Grid,225+$AB44,$AD44+1)*$AE44)))*IF(N($D44)&lt;1,1,$D44))</f>
        <v>0</v>
      </c>
    </row>
    <row r="45" customFormat="false" ht="15" hidden="false" customHeight="false" outlineLevel="0" collapsed="false">
      <c r="A45" s="31" t="n">
        <v>36</v>
      </c>
      <c r="B45" s="11"/>
      <c r="C45" s="11"/>
      <c r="D45" s="32"/>
      <c r="E45" s="33"/>
      <c r="F45" s="34"/>
      <c r="G45" s="35" t="str">
        <f aca="false">IF($AB45="","",IF(INDEX(Lib_Basis,$AB45)="Piece","pcs","cm"))</f>
        <v/>
      </c>
      <c r="H45" s="36" t="n">
        <f aca="false">IF(OR($AB45="",$AC45="",N($AC45)&lt;1,N($AC45)&gt;24),0,IF($AE45=0,INDEX(Engine_Grid,(WeightIdx-1)*75+$AB45,$AD45),IF(OR($AD45&gt;=24,INDEX(Engine_Grid,(WeightIdx-1)*75+$AB45,$AD45)=0,INDEX(Engine_Grid,(WeightIdx-1)*75+$AB45,$AD45+1)=0),0,INDEX(Engine_Grid,(WeightIdx-1)*75+$AB45,$AD45)*(1-$AE45)+INDEX(Engine_Grid,(WeightIdx-1)*75+$AB45,$AD45+1)*$AE45)))</f>
        <v>0</v>
      </c>
      <c r="I45" s="37" t="n">
        <f aca="false">IF(OR($H45=0,N($F45)&lt;=0),0,$F45/100*$H45*IF(N($D45)&lt;1,1,$D45))</f>
        <v>0</v>
      </c>
      <c r="J45" s="38" t="str">
        <f aca="false">IF($AB45="","",INDEX(Lib_Needle,$AB45))</f>
        <v/>
      </c>
      <c r="K45" s="38" t="str">
        <f aca="false">IF($AB45="","",INDEX(Lib_Bobbin,$AB45))</f>
        <v/>
      </c>
      <c r="L45" s="38" t="str">
        <f aca="false">IF($AB45="","",INDEX(Lib_Looper,$AB45))</f>
        <v/>
      </c>
      <c r="M45" s="38" t="str">
        <f aca="false">IF($AB45="","",INDEX(Lib_Cover,$AB45))</f>
        <v/>
      </c>
      <c r="N45" s="11"/>
      <c r="O45" s="39" t="n">
        <f aca="false">IF($I45=0,0,IF($AF45="Y",$I45*$J45/IF(N($D45)&lt;1,1,$D45),$I45*$J45))</f>
        <v>0</v>
      </c>
      <c r="P45" s="11"/>
      <c r="Q45" s="39" t="n">
        <f aca="false">IF(AND($I45&gt;0,$AF45="Y",IF(N($D45)&lt;1,1,$D45)&gt;=2),$I45*$J45/IF(N($D45)&lt;1,1,$D45),0)</f>
        <v>0</v>
      </c>
      <c r="R45" s="11"/>
      <c r="S45" s="39" t="n">
        <f aca="false">IF(AND($I45&gt;0,$AF45="Y",IF(N($D45)&lt;1,1,$D45)&gt;=3),$I45*$J45/IF(N($D45)&lt;1,1,$D45),0)</f>
        <v>0</v>
      </c>
      <c r="T45" s="11"/>
      <c r="U45" s="39" t="n">
        <f aca="false">IF($I45=0,0,$I45*$K45)</f>
        <v>0</v>
      </c>
      <c r="V45" s="11"/>
      <c r="W45" s="39" t="n">
        <f aca="false">IF($I45=0,0,$I45*$L45)</f>
        <v>0</v>
      </c>
      <c r="X45" s="11"/>
      <c r="Y45" s="39" t="n">
        <f aca="false">IF($I45=0,0,$I45*$M45)</f>
        <v>0</v>
      </c>
      <c r="Z45" s="39" t="n">
        <f aca="false">IF($N45="",$O45,0)+IF($P45="",$Q45,0)+IF($R45="",$S45,0)+IF($T45="",$U45,0)+IF($V45="",$W45,0)+IF($X45="",$Y45,0)+IF(AND($AF45="Y",IF(N($D45)&lt;1,1,$D45)&gt;3),$I45*$J45*(IF(N($D45)&lt;1,1,$D45)-3)/IF(N($D45)&lt;1,1,$D45),0)</f>
        <v>0</v>
      </c>
      <c r="AA45" s="40" t="str">
        <f aca="false">IF(AND($C45="",N($F45)=0),"",IF($C45="","⚠ Select a stitch type",IF($AB45="","⚠ Stitch not in library",IF(N($F45)&lt;=0,"⚠ Enter "&amp;IF($G45="pcs","quantity","seam length (cm)"),IF(AND($G45="cm",N($E45)&lt;=0),"⚠ Enter SPI",IF($H45=0,"⚠ No factor at SPI "&amp;$E45&amp;" – valid "&amp;INDEX(Lib_MinSPI,$AB45)&amp;"–"&amp;INDEX(Lib_MaxSPI,$AB45),IF(AND($AF45="Y",IF(N($D45)&lt;1,1,$D45)&gt;3),"⚠ More than 3 rows – thread for extra rows not allocated",IF($Z45&gt;0.00001,"⚠ Assign threads ("&amp;TEXT($Z45,"0.00")&amp;" m unassigned)","✔ OK"))))))))</f>
        <v/>
      </c>
      <c r="AB45" s="16" t="str">
        <f aca="false">IF($C45="","",IFERROR(MATCH($C45,Lib_Names,0),""))</f>
        <v/>
      </c>
      <c r="AC45" s="41" t="str">
        <f aca="false">IF($AB45="","",IF(INDEX(Lib_Basis,$AB45)="Piece",1,N($E45)))</f>
        <v/>
      </c>
      <c r="AD45" s="16" t="str">
        <f aca="false">IF($AC45="","",INT($AC45))</f>
        <v/>
      </c>
      <c r="AE45" s="17" t="str">
        <f aca="false">IF($AC45="","",$AC45-$AD45)</f>
        <v/>
      </c>
      <c r="AF45" s="35" t="str">
        <f aca="false">IF($AB45="","",INDEX(Lib_Multi,$AB45))</f>
        <v/>
      </c>
      <c r="AG45" s="42" t="str">
        <f aca="false">IF($AB45="","",INDEX(Lib_Cat,$AB45))</f>
        <v/>
      </c>
      <c r="AH45" s="39" t="n">
        <f aca="false">IF(N($F45)&lt;=0,0,$F45/100*IF(OR($AB45="",$AC45="",N($AC45)&lt;1,N($AC45)&gt;24),0,IF($AE45=0,INDEX(Engine_Grid,0+$AB45,$AD45),IF(OR($AD45&gt;=24,INDEX(Engine_Grid,0+$AB45,$AD45)=0,INDEX(Engine_Grid,0+$AB45,$AD45+1)=0),0,INDEX(Engine_Grid,0+$AB45,$AD45)*(1-$AE45)+INDEX(Engine_Grid,0+$AB45,$AD45+1)*$AE45)))*IF(N($D45)&lt;1,1,$D45))</f>
        <v>0</v>
      </c>
      <c r="AI45" s="39" t="n">
        <f aca="false">IF(N($F45)&lt;=0,0,$F45/100*IF(OR($AB45="",$AC45="",N($AC45)&lt;1,N($AC45)&gt;24),0,IF($AE45=0,INDEX(Engine_Grid,75+$AB45,$AD45),IF(OR($AD45&gt;=24,INDEX(Engine_Grid,75+$AB45,$AD45)=0,INDEX(Engine_Grid,75+$AB45,$AD45+1)=0),0,INDEX(Engine_Grid,75+$AB45,$AD45)*(1-$AE45)+INDEX(Engine_Grid,75+$AB45,$AD45+1)*$AE45)))*IF(N($D45)&lt;1,1,$D45))</f>
        <v>0</v>
      </c>
      <c r="AJ45" s="39" t="n">
        <f aca="false">IF(N($F45)&lt;=0,0,$F45/100*IF(OR($AB45="",$AC45="",N($AC45)&lt;1,N($AC45)&gt;24),0,IF($AE45=0,INDEX(Engine_Grid,150+$AB45,$AD45),IF(OR($AD45&gt;=24,INDEX(Engine_Grid,150+$AB45,$AD45)=0,INDEX(Engine_Grid,150+$AB45,$AD45+1)=0),0,INDEX(Engine_Grid,150+$AB45,$AD45)*(1-$AE45)+INDEX(Engine_Grid,150+$AB45,$AD45+1)*$AE45)))*IF(N($D45)&lt;1,1,$D45))</f>
        <v>0</v>
      </c>
      <c r="AK45" s="39" t="n">
        <f aca="false">IF(N($F45)&lt;=0,0,$F45/100*IF(OR($AB45="",$AC45="",N($AC45)&lt;1,N($AC45)&gt;24),0,IF($AE45=0,INDEX(Engine_Grid,225+$AB45,$AD45),IF(OR($AD45&gt;=24,INDEX(Engine_Grid,225+$AB45,$AD45)=0,INDEX(Engine_Grid,225+$AB45,$AD45+1)=0),0,INDEX(Engine_Grid,225+$AB45,$AD45)*(1-$AE45)+INDEX(Engine_Grid,225+$AB45,$AD45+1)*$AE45)))*IF(N($D45)&lt;1,1,$D45))</f>
        <v>0</v>
      </c>
    </row>
    <row r="46" customFormat="false" ht="15" hidden="false" customHeight="false" outlineLevel="0" collapsed="false">
      <c r="A46" s="31" t="n">
        <v>37</v>
      </c>
      <c r="B46" s="11"/>
      <c r="C46" s="11"/>
      <c r="D46" s="32"/>
      <c r="E46" s="33"/>
      <c r="F46" s="34"/>
      <c r="G46" s="35" t="str">
        <f aca="false">IF($AB46="","",IF(INDEX(Lib_Basis,$AB46)="Piece","pcs","cm"))</f>
        <v/>
      </c>
      <c r="H46" s="36" t="n">
        <f aca="false">IF(OR($AB46="",$AC46="",N($AC46)&lt;1,N($AC46)&gt;24),0,IF($AE46=0,INDEX(Engine_Grid,(WeightIdx-1)*75+$AB46,$AD46),IF(OR($AD46&gt;=24,INDEX(Engine_Grid,(WeightIdx-1)*75+$AB46,$AD46)=0,INDEX(Engine_Grid,(WeightIdx-1)*75+$AB46,$AD46+1)=0),0,INDEX(Engine_Grid,(WeightIdx-1)*75+$AB46,$AD46)*(1-$AE46)+INDEX(Engine_Grid,(WeightIdx-1)*75+$AB46,$AD46+1)*$AE46)))</f>
        <v>0</v>
      </c>
      <c r="I46" s="37" t="n">
        <f aca="false">IF(OR($H46=0,N($F46)&lt;=0),0,$F46/100*$H46*IF(N($D46)&lt;1,1,$D46))</f>
        <v>0</v>
      </c>
      <c r="J46" s="38" t="str">
        <f aca="false">IF($AB46="","",INDEX(Lib_Needle,$AB46))</f>
        <v/>
      </c>
      <c r="K46" s="38" t="str">
        <f aca="false">IF($AB46="","",INDEX(Lib_Bobbin,$AB46))</f>
        <v/>
      </c>
      <c r="L46" s="38" t="str">
        <f aca="false">IF($AB46="","",INDEX(Lib_Looper,$AB46))</f>
        <v/>
      </c>
      <c r="M46" s="38" t="str">
        <f aca="false">IF($AB46="","",INDEX(Lib_Cover,$AB46))</f>
        <v/>
      </c>
      <c r="N46" s="11"/>
      <c r="O46" s="39" t="n">
        <f aca="false">IF($I46=0,0,IF($AF46="Y",$I46*$J46/IF(N($D46)&lt;1,1,$D46),$I46*$J46))</f>
        <v>0</v>
      </c>
      <c r="P46" s="11"/>
      <c r="Q46" s="39" t="n">
        <f aca="false">IF(AND($I46&gt;0,$AF46="Y",IF(N($D46)&lt;1,1,$D46)&gt;=2),$I46*$J46/IF(N($D46)&lt;1,1,$D46),0)</f>
        <v>0</v>
      </c>
      <c r="R46" s="11"/>
      <c r="S46" s="39" t="n">
        <f aca="false">IF(AND($I46&gt;0,$AF46="Y",IF(N($D46)&lt;1,1,$D46)&gt;=3),$I46*$J46/IF(N($D46)&lt;1,1,$D46),0)</f>
        <v>0</v>
      </c>
      <c r="T46" s="11"/>
      <c r="U46" s="39" t="n">
        <f aca="false">IF($I46=0,0,$I46*$K46)</f>
        <v>0</v>
      </c>
      <c r="V46" s="11"/>
      <c r="W46" s="39" t="n">
        <f aca="false">IF($I46=0,0,$I46*$L46)</f>
        <v>0</v>
      </c>
      <c r="X46" s="11"/>
      <c r="Y46" s="39" t="n">
        <f aca="false">IF($I46=0,0,$I46*$M46)</f>
        <v>0</v>
      </c>
      <c r="Z46" s="39" t="n">
        <f aca="false">IF($N46="",$O46,0)+IF($P46="",$Q46,0)+IF($R46="",$S46,0)+IF($T46="",$U46,0)+IF($V46="",$W46,0)+IF($X46="",$Y46,0)+IF(AND($AF46="Y",IF(N($D46)&lt;1,1,$D46)&gt;3),$I46*$J46*(IF(N($D46)&lt;1,1,$D46)-3)/IF(N($D46)&lt;1,1,$D46),0)</f>
        <v>0</v>
      </c>
      <c r="AA46" s="40" t="str">
        <f aca="false">IF(AND($C46="",N($F46)=0),"",IF($C46="","⚠ Select a stitch type",IF($AB46="","⚠ Stitch not in library",IF(N($F46)&lt;=0,"⚠ Enter "&amp;IF($G46="pcs","quantity","seam length (cm)"),IF(AND($G46="cm",N($E46)&lt;=0),"⚠ Enter SPI",IF($H46=0,"⚠ No factor at SPI "&amp;$E46&amp;" – valid "&amp;INDEX(Lib_MinSPI,$AB46)&amp;"–"&amp;INDEX(Lib_MaxSPI,$AB46),IF(AND($AF46="Y",IF(N($D46)&lt;1,1,$D46)&gt;3),"⚠ More than 3 rows – thread for extra rows not allocated",IF($Z46&gt;0.00001,"⚠ Assign threads ("&amp;TEXT($Z46,"0.00")&amp;" m unassigned)","✔ OK"))))))))</f>
        <v/>
      </c>
      <c r="AB46" s="16" t="str">
        <f aca="false">IF($C46="","",IFERROR(MATCH($C46,Lib_Names,0),""))</f>
        <v/>
      </c>
      <c r="AC46" s="41" t="str">
        <f aca="false">IF($AB46="","",IF(INDEX(Lib_Basis,$AB46)="Piece",1,N($E46)))</f>
        <v/>
      </c>
      <c r="AD46" s="16" t="str">
        <f aca="false">IF($AC46="","",INT($AC46))</f>
        <v/>
      </c>
      <c r="AE46" s="17" t="str">
        <f aca="false">IF($AC46="","",$AC46-$AD46)</f>
        <v/>
      </c>
      <c r="AF46" s="35" t="str">
        <f aca="false">IF($AB46="","",INDEX(Lib_Multi,$AB46))</f>
        <v/>
      </c>
      <c r="AG46" s="42" t="str">
        <f aca="false">IF($AB46="","",INDEX(Lib_Cat,$AB46))</f>
        <v/>
      </c>
      <c r="AH46" s="39" t="n">
        <f aca="false">IF(N($F46)&lt;=0,0,$F46/100*IF(OR($AB46="",$AC46="",N($AC46)&lt;1,N($AC46)&gt;24),0,IF($AE46=0,INDEX(Engine_Grid,0+$AB46,$AD46),IF(OR($AD46&gt;=24,INDEX(Engine_Grid,0+$AB46,$AD46)=0,INDEX(Engine_Grid,0+$AB46,$AD46+1)=0),0,INDEX(Engine_Grid,0+$AB46,$AD46)*(1-$AE46)+INDEX(Engine_Grid,0+$AB46,$AD46+1)*$AE46)))*IF(N($D46)&lt;1,1,$D46))</f>
        <v>0</v>
      </c>
      <c r="AI46" s="39" t="n">
        <f aca="false">IF(N($F46)&lt;=0,0,$F46/100*IF(OR($AB46="",$AC46="",N($AC46)&lt;1,N($AC46)&gt;24),0,IF($AE46=0,INDEX(Engine_Grid,75+$AB46,$AD46),IF(OR($AD46&gt;=24,INDEX(Engine_Grid,75+$AB46,$AD46)=0,INDEX(Engine_Grid,75+$AB46,$AD46+1)=0),0,INDEX(Engine_Grid,75+$AB46,$AD46)*(1-$AE46)+INDEX(Engine_Grid,75+$AB46,$AD46+1)*$AE46)))*IF(N($D46)&lt;1,1,$D46))</f>
        <v>0</v>
      </c>
      <c r="AJ46" s="39" t="n">
        <f aca="false">IF(N($F46)&lt;=0,0,$F46/100*IF(OR($AB46="",$AC46="",N($AC46)&lt;1,N($AC46)&gt;24),0,IF($AE46=0,INDEX(Engine_Grid,150+$AB46,$AD46),IF(OR($AD46&gt;=24,INDEX(Engine_Grid,150+$AB46,$AD46)=0,INDEX(Engine_Grid,150+$AB46,$AD46+1)=0),0,INDEX(Engine_Grid,150+$AB46,$AD46)*(1-$AE46)+INDEX(Engine_Grid,150+$AB46,$AD46+1)*$AE46)))*IF(N($D46)&lt;1,1,$D46))</f>
        <v>0</v>
      </c>
      <c r="AK46" s="39" t="n">
        <f aca="false">IF(N($F46)&lt;=0,0,$F46/100*IF(OR($AB46="",$AC46="",N($AC46)&lt;1,N($AC46)&gt;24),0,IF($AE46=0,INDEX(Engine_Grid,225+$AB46,$AD46),IF(OR($AD46&gt;=24,INDEX(Engine_Grid,225+$AB46,$AD46)=0,INDEX(Engine_Grid,225+$AB46,$AD46+1)=0),0,INDEX(Engine_Grid,225+$AB46,$AD46)*(1-$AE46)+INDEX(Engine_Grid,225+$AB46,$AD46+1)*$AE46)))*IF(N($D46)&lt;1,1,$D46))</f>
        <v>0</v>
      </c>
    </row>
    <row r="47" customFormat="false" ht="15" hidden="false" customHeight="false" outlineLevel="0" collapsed="false">
      <c r="A47" s="31" t="n">
        <v>38</v>
      </c>
      <c r="B47" s="11"/>
      <c r="C47" s="11"/>
      <c r="D47" s="32"/>
      <c r="E47" s="33"/>
      <c r="F47" s="34"/>
      <c r="G47" s="35" t="str">
        <f aca="false">IF($AB47="","",IF(INDEX(Lib_Basis,$AB47)="Piece","pcs","cm"))</f>
        <v/>
      </c>
      <c r="H47" s="36" t="n">
        <f aca="false">IF(OR($AB47="",$AC47="",N($AC47)&lt;1,N($AC47)&gt;24),0,IF($AE47=0,INDEX(Engine_Grid,(WeightIdx-1)*75+$AB47,$AD47),IF(OR($AD47&gt;=24,INDEX(Engine_Grid,(WeightIdx-1)*75+$AB47,$AD47)=0,INDEX(Engine_Grid,(WeightIdx-1)*75+$AB47,$AD47+1)=0),0,INDEX(Engine_Grid,(WeightIdx-1)*75+$AB47,$AD47)*(1-$AE47)+INDEX(Engine_Grid,(WeightIdx-1)*75+$AB47,$AD47+1)*$AE47)))</f>
        <v>0</v>
      </c>
      <c r="I47" s="37" t="n">
        <f aca="false">IF(OR($H47=0,N($F47)&lt;=0),0,$F47/100*$H47*IF(N($D47)&lt;1,1,$D47))</f>
        <v>0</v>
      </c>
      <c r="J47" s="38" t="str">
        <f aca="false">IF($AB47="","",INDEX(Lib_Needle,$AB47))</f>
        <v/>
      </c>
      <c r="K47" s="38" t="str">
        <f aca="false">IF($AB47="","",INDEX(Lib_Bobbin,$AB47))</f>
        <v/>
      </c>
      <c r="L47" s="38" t="str">
        <f aca="false">IF($AB47="","",INDEX(Lib_Looper,$AB47))</f>
        <v/>
      </c>
      <c r="M47" s="38" t="str">
        <f aca="false">IF($AB47="","",INDEX(Lib_Cover,$AB47))</f>
        <v/>
      </c>
      <c r="N47" s="11"/>
      <c r="O47" s="39" t="n">
        <f aca="false">IF($I47=0,0,IF($AF47="Y",$I47*$J47/IF(N($D47)&lt;1,1,$D47),$I47*$J47))</f>
        <v>0</v>
      </c>
      <c r="P47" s="11"/>
      <c r="Q47" s="39" t="n">
        <f aca="false">IF(AND($I47&gt;0,$AF47="Y",IF(N($D47)&lt;1,1,$D47)&gt;=2),$I47*$J47/IF(N($D47)&lt;1,1,$D47),0)</f>
        <v>0</v>
      </c>
      <c r="R47" s="11"/>
      <c r="S47" s="39" t="n">
        <f aca="false">IF(AND($I47&gt;0,$AF47="Y",IF(N($D47)&lt;1,1,$D47)&gt;=3),$I47*$J47/IF(N($D47)&lt;1,1,$D47),0)</f>
        <v>0</v>
      </c>
      <c r="T47" s="11"/>
      <c r="U47" s="39" t="n">
        <f aca="false">IF($I47=0,0,$I47*$K47)</f>
        <v>0</v>
      </c>
      <c r="V47" s="11"/>
      <c r="W47" s="39" t="n">
        <f aca="false">IF($I47=0,0,$I47*$L47)</f>
        <v>0</v>
      </c>
      <c r="X47" s="11"/>
      <c r="Y47" s="39" t="n">
        <f aca="false">IF($I47=0,0,$I47*$M47)</f>
        <v>0</v>
      </c>
      <c r="Z47" s="39" t="n">
        <f aca="false">IF($N47="",$O47,0)+IF($P47="",$Q47,0)+IF($R47="",$S47,0)+IF($T47="",$U47,0)+IF($V47="",$W47,0)+IF($X47="",$Y47,0)+IF(AND($AF47="Y",IF(N($D47)&lt;1,1,$D47)&gt;3),$I47*$J47*(IF(N($D47)&lt;1,1,$D47)-3)/IF(N($D47)&lt;1,1,$D47),0)</f>
        <v>0</v>
      </c>
      <c r="AA47" s="40" t="str">
        <f aca="false">IF(AND($C47="",N($F47)=0),"",IF($C47="","⚠ Select a stitch type",IF($AB47="","⚠ Stitch not in library",IF(N($F47)&lt;=0,"⚠ Enter "&amp;IF($G47="pcs","quantity","seam length (cm)"),IF(AND($G47="cm",N($E47)&lt;=0),"⚠ Enter SPI",IF($H47=0,"⚠ No factor at SPI "&amp;$E47&amp;" – valid "&amp;INDEX(Lib_MinSPI,$AB47)&amp;"–"&amp;INDEX(Lib_MaxSPI,$AB47),IF(AND($AF47="Y",IF(N($D47)&lt;1,1,$D47)&gt;3),"⚠ More than 3 rows – thread for extra rows not allocated",IF($Z47&gt;0.00001,"⚠ Assign threads ("&amp;TEXT($Z47,"0.00")&amp;" m unassigned)","✔ OK"))))))))</f>
        <v/>
      </c>
      <c r="AB47" s="16" t="str">
        <f aca="false">IF($C47="","",IFERROR(MATCH($C47,Lib_Names,0),""))</f>
        <v/>
      </c>
      <c r="AC47" s="41" t="str">
        <f aca="false">IF($AB47="","",IF(INDEX(Lib_Basis,$AB47)="Piece",1,N($E47)))</f>
        <v/>
      </c>
      <c r="AD47" s="16" t="str">
        <f aca="false">IF($AC47="","",INT($AC47))</f>
        <v/>
      </c>
      <c r="AE47" s="17" t="str">
        <f aca="false">IF($AC47="","",$AC47-$AD47)</f>
        <v/>
      </c>
      <c r="AF47" s="35" t="str">
        <f aca="false">IF($AB47="","",INDEX(Lib_Multi,$AB47))</f>
        <v/>
      </c>
      <c r="AG47" s="42" t="str">
        <f aca="false">IF($AB47="","",INDEX(Lib_Cat,$AB47))</f>
        <v/>
      </c>
      <c r="AH47" s="39" t="n">
        <f aca="false">IF(N($F47)&lt;=0,0,$F47/100*IF(OR($AB47="",$AC47="",N($AC47)&lt;1,N($AC47)&gt;24),0,IF($AE47=0,INDEX(Engine_Grid,0+$AB47,$AD47),IF(OR($AD47&gt;=24,INDEX(Engine_Grid,0+$AB47,$AD47)=0,INDEX(Engine_Grid,0+$AB47,$AD47+1)=0),0,INDEX(Engine_Grid,0+$AB47,$AD47)*(1-$AE47)+INDEX(Engine_Grid,0+$AB47,$AD47+1)*$AE47)))*IF(N($D47)&lt;1,1,$D47))</f>
        <v>0</v>
      </c>
      <c r="AI47" s="39" t="n">
        <f aca="false">IF(N($F47)&lt;=0,0,$F47/100*IF(OR($AB47="",$AC47="",N($AC47)&lt;1,N($AC47)&gt;24),0,IF($AE47=0,INDEX(Engine_Grid,75+$AB47,$AD47),IF(OR($AD47&gt;=24,INDEX(Engine_Grid,75+$AB47,$AD47)=0,INDEX(Engine_Grid,75+$AB47,$AD47+1)=0),0,INDEX(Engine_Grid,75+$AB47,$AD47)*(1-$AE47)+INDEX(Engine_Grid,75+$AB47,$AD47+1)*$AE47)))*IF(N($D47)&lt;1,1,$D47))</f>
        <v>0</v>
      </c>
      <c r="AJ47" s="39" t="n">
        <f aca="false">IF(N($F47)&lt;=0,0,$F47/100*IF(OR($AB47="",$AC47="",N($AC47)&lt;1,N($AC47)&gt;24),0,IF($AE47=0,INDEX(Engine_Grid,150+$AB47,$AD47),IF(OR($AD47&gt;=24,INDEX(Engine_Grid,150+$AB47,$AD47)=0,INDEX(Engine_Grid,150+$AB47,$AD47+1)=0),0,INDEX(Engine_Grid,150+$AB47,$AD47)*(1-$AE47)+INDEX(Engine_Grid,150+$AB47,$AD47+1)*$AE47)))*IF(N($D47)&lt;1,1,$D47))</f>
        <v>0</v>
      </c>
      <c r="AK47" s="39" t="n">
        <f aca="false">IF(N($F47)&lt;=0,0,$F47/100*IF(OR($AB47="",$AC47="",N($AC47)&lt;1,N($AC47)&gt;24),0,IF($AE47=0,INDEX(Engine_Grid,225+$AB47,$AD47),IF(OR($AD47&gt;=24,INDEX(Engine_Grid,225+$AB47,$AD47)=0,INDEX(Engine_Grid,225+$AB47,$AD47+1)=0),0,INDEX(Engine_Grid,225+$AB47,$AD47)*(1-$AE47)+INDEX(Engine_Grid,225+$AB47,$AD47+1)*$AE47)))*IF(N($D47)&lt;1,1,$D47))</f>
        <v>0</v>
      </c>
    </row>
    <row r="48" customFormat="false" ht="15" hidden="false" customHeight="false" outlineLevel="0" collapsed="false">
      <c r="A48" s="31" t="n">
        <v>39</v>
      </c>
      <c r="B48" s="11"/>
      <c r="C48" s="11"/>
      <c r="D48" s="32"/>
      <c r="E48" s="33"/>
      <c r="F48" s="34"/>
      <c r="G48" s="35" t="str">
        <f aca="false">IF($AB48="","",IF(INDEX(Lib_Basis,$AB48)="Piece","pcs","cm"))</f>
        <v/>
      </c>
      <c r="H48" s="36" t="n">
        <f aca="false">IF(OR($AB48="",$AC48="",N($AC48)&lt;1,N($AC48)&gt;24),0,IF($AE48=0,INDEX(Engine_Grid,(WeightIdx-1)*75+$AB48,$AD48),IF(OR($AD48&gt;=24,INDEX(Engine_Grid,(WeightIdx-1)*75+$AB48,$AD48)=0,INDEX(Engine_Grid,(WeightIdx-1)*75+$AB48,$AD48+1)=0),0,INDEX(Engine_Grid,(WeightIdx-1)*75+$AB48,$AD48)*(1-$AE48)+INDEX(Engine_Grid,(WeightIdx-1)*75+$AB48,$AD48+1)*$AE48)))</f>
        <v>0</v>
      </c>
      <c r="I48" s="37" t="n">
        <f aca="false">IF(OR($H48=0,N($F48)&lt;=0),0,$F48/100*$H48*IF(N($D48)&lt;1,1,$D48))</f>
        <v>0</v>
      </c>
      <c r="J48" s="38" t="str">
        <f aca="false">IF($AB48="","",INDEX(Lib_Needle,$AB48))</f>
        <v/>
      </c>
      <c r="K48" s="38" t="str">
        <f aca="false">IF($AB48="","",INDEX(Lib_Bobbin,$AB48))</f>
        <v/>
      </c>
      <c r="L48" s="38" t="str">
        <f aca="false">IF($AB48="","",INDEX(Lib_Looper,$AB48))</f>
        <v/>
      </c>
      <c r="M48" s="38" t="str">
        <f aca="false">IF($AB48="","",INDEX(Lib_Cover,$AB48))</f>
        <v/>
      </c>
      <c r="N48" s="11"/>
      <c r="O48" s="39" t="n">
        <f aca="false">IF($I48=0,0,IF($AF48="Y",$I48*$J48/IF(N($D48)&lt;1,1,$D48),$I48*$J48))</f>
        <v>0</v>
      </c>
      <c r="P48" s="11"/>
      <c r="Q48" s="39" t="n">
        <f aca="false">IF(AND($I48&gt;0,$AF48="Y",IF(N($D48)&lt;1,1,$D48)&gt;=2),$I48*$J48/IF(N($D48)&lt;1,1,$D48),0)</f>
        <v>0</v>
      </c>
      <c r="R48" s="11"/>
      <c r="S48" s="39" t="n">
        <f aca="false">IF(AND($I48&gt;0,$AF48="Y",IF(N($D48)&lt;1,1,$D48)&gt;=3),$I48*$J48/IF(N($D48)&lt;1,1,$D48),0)</f>
        <v>0</v>
      </c>
      <c r="T48" s="11"/>
      <c r="U48" s="39" t="n">
        <f aca="false">IF($I48=0,0,$I48*$K48)</f>
        <v>0</v>
      </c>
      <c r="V48" s="11"/>
      <c r="W48" s="39" t="n">
        <f aca="false">IF($I48=0,0,$I48*$L48)</f>
        <v>0</v>
      </c>
      <c r="X48" s="11"/>
      <c r="Y48" s="39" t="n">
        <f aca="false">IF($I48=0,0,$I48*$M48)</f>
        <v>0</v>
      </c>
      <c r="Z48" s="39" t="n">
        <f aca="false">IF($N48="",$O48,0)+IF($P48="",$Q48,0)+IF($R48="",$S48,0)+IF($T48="",$U48,0)+IF($V48="",$W48,0)+IF($X48="",$Y48,0)+IF(AND($AF48="Y",IF(N($D48)&lt;1,1,$D48)&gt;3),$I48*$J48*(IF(N($D48)&lt;1,1,$D48)-3)/IF(N($D48)&lt;1,1,$D48),0)</f>
        <v>0</v>
      </c>
      <c r="AA48" s="40" t="str">
        <f aca="false">IF(AND($C48="",N($F48)=0),"",IF($C48="","⚠ Select a stitch type",IF($AB48="","⚠ Stitch not in library",IF(N($F48)&lt;=0,"⚠ Enter "&amp;IF($G48="pcs","quantity","seam length (cm)"),IF(AND($G48="cm",N($E48)&lt;=0),"⚠ Enter SPI",IF($H48=0,"⚠ No factor at SPI "&amp;$E48&amp;" – valid "&amp;INDEX(Lib_MinSPI,$AB48)&amp;"–"&amp;INDEX(Lib_MaxSPI,$AB48),IF(AND($AF48="Y",IF(N($D48)&lt;1,1,$D48)&gt;3),"⚠ More than 3 rows – thread for extra rows not allocated",IF($Z48&gt;0.00001,"⚠ Assign threads ("&amp;TEXT($Z48,"0.00")&amp;" m unassigned)","✔ OK"))))))))</f>
        <v/>
      </c>
      <c r="AB48" s="16" t="str">
        <f aca="false">IF($C48="","",IFERROR(MATCH($C48,Lib_Names,0),""))</f>
        <v/>
      </c>
      <c r="AC48" s="41" t="str">
        <f aca="false">IF($AB48="","",IF(INDEX(Lib_Basis,$AB48)="Piece",1,N($E48)))</f>
        <v/>
      </c>
      <c r="AD48" s="16" t="str">
        <f aca="false">IF($AC48="","",INT($AC48))</f>
        <v/>
      </c>
      <c r="AE48" s="17" t="str">
        <f aca="false">IF($AC48="","",$AC48-$AD48)</f>
        <v/>
      </c>
      <c r="AF48" s="35" t="str">
        <f aca="false">IF($AB48="","",INDEX(Lib_Multi,$AB48))</f>
        <v/>
      </c>
      <c r="AG48" s="42" t="str">
        <f aca="false">IF($AB48="","",INDEX(Lib_Cat,$AB48))</f>
        <v/>
      </c>
      <c r="AH48" s="39" t="n">
        <f aca="false">IF(N($F48)&lt;=0,0,$F48/100*IF(OR($AB48="",$AC48="",N($AC48)&lt;1,N($AC48)&gt;24),0,IF($AE48=0,INDEX(Engine_Grid,0+$AB48,$AD48),IF(OR($AD48&gt;=24,INDEX(Engine_Grid,0+$AB48,$AD48)=0,INDEX(Engine_Grid,0+$AB48,$AD48+1)=0),0,INDEX(Engine_Grid,0+$AB48,$AD48)*(1-$AE48)+INDEX(Engine_Grid,0+$AB48,$AD48+1)*$AE48)))*IF(N($D48)&lt;1,1,$D48))</f>
        <v>0</v>
      </c>
      <c r="AI48" s="39" t="n">
        <f aca="false">IF(N($F48)&lt;=0,0,$F48/100*IF(OR($AB48="",$AC48="",N($AC48)&lt;1,N($AC48)&gt;24),0,IF($AE48=0,INDEX(Engine_Grid,75+$AB48,$AD48),IF(OR($AD48&gt;=24,INDEX(Engine_Grid,75+$AB48,$AD48)=0,INDEX(Engine_Grid,75+$AB48,$AD48+1)=0),0,INDEX(Engine_Grid,75+$AB48,$AD48)*(1-$AE48)+INDEX(Engine_Grid,75+$AB48,$AD48+1)*$AE48)))*IF(N($D48)&lt;1,1,$D48))</f>
        <v>0</v>
      </c>
      <c r="AJ48" s="39" t="n">
        <f aca="false">IF(N($F48)&lt;=0,0,$F48/100*IF(OR($AB48="",$AC48="",N($AC48)&lt;1,N($AC48)&gt;24),0,IF($AE48=0,INDEX(Engine_Grid,150+$AB48,$AD48),IF(OR($AD48&gt;=24,INDEX(Engine_Grid,150+$AB48,$AD48)=0,INDEX(Engine_Grid,150+$AB48,$AD48+1)=0),0,INDEX(Engine_Grid,150+$AB48,$AD48)*(1-$AE48)+INDEX(Engine_Grid,150+$AB48,$AD48+1)*$AE48)))*IF(N($D48)&lt;1,1,$D48))</f>
        <v>0</v>
      </c>
      <c r="AK48" s="39" t="n">
        <f aca="false">IF(N($F48)&lt;=0,0,$F48/100*IF(OR($AB48="",$AC48="",N($AC48)&lt;1,N($AC48)&gt;24),0,IF($AE48=0,INDEX(Engine_Grid,225+$AB48,$AD48),IF(OR($AD48&gt;=24,INDEX(Engine_Grid,225+$AB48,$AD48)=0,INDEX(Engine_Grid,225+$AB48,$AD48+1)=0),0,INDEX(Engine_Grid,225+$AB48,$AD48)*(1-$AE48)+INDEX(Engine_Grid,225+$AB48,$AD48+1)*$AE48)))*IF(N($D48)&lt;1,1,$D48))</f>
        <v>0</v>
      </c>
    </row>
    <row r="49" customFormat="false" ht="15" hidden="false" customHeight="false" outlineLevel="0" collapsed="false">
      <c r="A49" s="31" t="n">
        <v>40</v>
      </c>
      <c r="B49" s="11"/>
      <c r="C49" s="11"/>
      <c r="D49" s="32"/>
      <c r="E49" s="33"/>
      <c r="F49" s="34"/>
      <c r="G49" s="35" t="str">
        <f aca="false">IF($AB49="","",IF(INDEX(Lib_Basis,$AB49)="Piece","pcs","cm"))</f>
        <v/>
      </c>
      <c r="H49" s="36" t="n">
        <f aca="false">IF(OR($AB49="",$AC49="",N($AC49)&lt;1,N($AC49)&gt;24),0,IF($AE49=0,INDEX(Engine_Grid,(WeightIdx-1)*75+$AB49,$AD49),IF(OR($AD49&gt;=24,INDEX(Engine_Grid,(WeightIdx-1)*75+$AB49,$AD49)=0,INDEX(Engine_Grid,(WeightIdx-1)*75+$AB49,$AD49+1)=0),0,INDEX(Engine_Grid,(WeightIdx-1)*75+$AB49,$AD49)*(1-$AE49)+INDEX(Engine_Grid,(WeightIdx-1)*75+$AB49,$AD49+1)*$AE49)))</f>
        <v>0</v>
      </c>
      <c r="I49" s="37" t="n">
        <f aca="false">IF(OR($H49=0,N($F49)&lt;=0),0,$F49/100*$H49*IF(N($D49)&lt;1,1,$D49))</f>
        <v>0</v>
      </c>
      <c r="J49" s="38" t="str">
        <f aca="false">IF($AB49="","",INDEX(Lib_Needle,$AB49))</f>
        <v/>
      </c>
      <c r="K49" s="38" t="str">
        <f aca="false">IF($AB49="","",INDEX(Lib_Bobbin,$AB49))</f>
        <v/>
      </c>
      <c r="L49" s="38" t="str">
        <f aca="false">IF($AB49="","",INDEX(Lib_Looper,$AB49))</f>
        <v/>
      </c>
      <c r="M49" s="38" t="str">
        <f aca="false">IF($AB49="","",INDEX(Lib_Cover,$AB49))</f>
        <v/>
      </c>
      <c r="N49" s="11"/>
      <c r="O49" s="39" t="n">
        <f aca="false">IF($I49=0,0,IF($AF49="Y",$I49*$J49/IF(N($D49)&lt;1,1,$D49),$I49*$J49))</f>
        <v>0</v>
      </c>
      <c r="P49" s="11"/>
      <c r="Q49" s="39" t="n">
        <f aca="false">IF(AND($I49&gt;0,$AF49="Y",IF(N($D49)&lt;1,1,$D49)&gt;=2),$I49*$J49/IF(N($D49)&lt;1,1,$D49),0)</f>
        <v>0</v>
      </c>
      <c r="R49" s="11"/>
      <c r="S49" s="39" t="n">
        <f aca="false">IF(AND($I49&gt;0,$AF49="Y",IF(N($D49)&lt;1,1,$D49)&gt;=3),$I49*$J49/IF(N($D49)&lt;1,1,$D49),0)</f>
        <v>0</v>
      </c>
      <c r="T49" s="11"/>
      <c r="U49" s="39" t="n">
        <f aca="false">IF($I49=0,0,$I49*$K49)</f>
        <v>0</v>
      </c>
      <c r="V49" s="11"/>
      <c r="W49" s="39" t="n">
        <f aca="false">IF($I49=0,0,$I49*$L49)</f>
        <v>0</v>
      </c>
      <c r="X49" s="11"/>
      <c r="Y49" s="39" t="n">
        <f aca="false">IF($I49=0,0,$I49*$M49)</f>
        <v>0</v>
      </c>
      <c r="Z49" s="39" t="n">
        <f aca="false">IF($N49="",$O49,0)+IF($P49="",$Q49,0)+IF($R49="",$S49,0)+IF($T49="",$U49,0)+IF($V49="",$W49,0)+IF($X49="",$Y49,0)+IF(AND($AF49="Y",IF(N($D49)&lt;1,1,$D49)&gt;3),$I49*$J49*(IF(N($D49)&lt;1,1,$D49)-3)/IF(N($D49)&lt;1,1,$D49),0)</f>
        <v>0</v>
      </c>
      <c r="AA49" s="40" t="str">
        <f aca="false">IF(AND($C49="",N($F49)=0),"",IF($C49="","⚠ Select a stitch type",IF($AB49="","⚠ Stitch not in library",IF(N($F49)&lt;=0,"⚠ Enter "&amp;IF($G49="pcs","quantity","seam length (cm)"),IF(AND($G49="cm",N($E49)&lt;=0),"⚠ Enter SPI",IF($H49=0,"⚠ No factor at SPI "&amp;$E49&amp;" – valid "&amp;INDEX(Lib_MinSPI,$AB49)&amp;"–"&amp;INDEX(Lib_MaxSPI,$AB49),IF(AND($AF49="Y",IF(N($D49)&lt;1,1,$D49)&gt;3),"⚠ More than 3 rows – thread for extra rows not allocated",IF($Z49&gt;0.00001,"⚠ Assign threads ("&amp;TEXT($Z49,"0.00")&amp;" m unassigned)","✔ OK"))))))))</f>
        <v/>
      </c>
      <c r="AB49" s="16" t="str">
        <f aca="false">IF($C49="","",IFERROR(MATCH($C49,Lib_Names,0),""))</f>
        <v/>
      </c>
      <c r="AC49" s="41" t="str">
        <f aca="false">IF($AB49="","",IF(INDEX(Lib_Basis,$AB49)="Piece",1,N($E49)))</f>
        <v/>
      </c>
      <c r="AD49" s="16" t="str">
        <f aca="false">IF($AC49="","",INT($AC49))</f>
        <v/>
      </c>
      <c r="AE49" s="17" t="str">
        <f aca="false">IF($AC49="","",$AC49-$AD49)</f>
        <v/>
      </c>
      <c r="AF49" s="35" t="str">
        <f aca="false">IF($AB49="","",INDEX(Lib_Multi,$AB49))</f>
        <v/>
      </c>
      <c r="AG49" s="42" t="str">
        <f aca="false">IF($AB49="","",INDEX(Lib_Cat,$AB49))</f>
        <v/>
      </c>
      <c r="AH49" s="39" t="n">
        <f aca="false">IF(N($F49)&lt;=0,0,$F49/100*IF(OR($AB49="",$AC49="",N($AC49)&lt;1,N($AC49)&gt;24),0,IF($AE49=0,INDEX(Engine_Grid,0+$AB49,$AD49),IF(OR($AD49&gt;=24,INDEX(Engine_Grid,0+$AB49,$AD49)=0,INDEX(Engine_Grid,0+$AB49,$AD49+1)=0),0,INDEX(Engine_Grid,0+$AB49,$AD49)*(1-$AE49)+INDEX(Engine_Grid,0+$AB49,$AD49+1)*$AE49)))*IF(N($D49)&lt;1,1,$D49))</f>
        <v>0</v>
      </c>
      <c r="AI49" s="39" t="n">
        <f aca="false">IF(N($F49)&lt;=0,0,$F49/100*IF(OR($AB49="",$AC49="",N($AC49)&lt;1,N($AC49)&gt;24),0,IF($AE49=0,INDEX(Engine_Grid,75+$AB49,$AD49),IF(OR($AD49&gt;=24,INDEX(Engine_Grid,75+$AB49,$AD49)=0,INDEX(Engine_Grid,75+$AB49,$AD49+1)=0),0,INDEX(Engine_Grid,75+$AB49,$AD49)*(1-$AE49)+INDEX(Engine_Grid,75+$AB49,$AD49+1)*$AE49)))*IF(N($D49)&lt;1,1,$D49))</f>
        <v>0</v>
      </c>
      <c r="AJ49" s="39" t="n">
        <f aca="false">IF(N($F49)&lt;=0,0,$F49/100*IF(OR($AB49="",$AC49="",N($AC49)&lt;1,N($AC49)&gt;24),0,IF($AE49=0,INDEX(Engine_Grid,150+$AB49,$AD49),IF(OR($AD49&gt;=24,INDEX(Engine_Grid,150+$AB49,$AD49)=0,INDEX(Engine_Grid,150+$AB49,$AD49+1)=0),0,INDEX(Engine_Grid,150+$AB49,$AD49)*(1-$AE49)+INDEX(Engine_Grid,150+$AB49,$AD49+1)*$AE49)))*IF(N($D49)&lt;1,1,$D49))</f>
        <v>0</v>
      </c>
      <c r="AK49" s="39" t="n">
        <f aca="false">IF(N($F49)&lt;=0,0,$F49/100*IF(OR($AB49="",$AC49="",N($AC49)&lt;1,N($AC49)&gt;24),0,IF($AE49=0,INDEX(Engine_Grid,225+$AB49,$AD49),IF(OR($AD49&gt;=24,INDEX(Engine_Grid,225+$AB49,$AD49)=0,INDEX(Engine_Grid,225+$AB49,$AD49+1)=0),0,INDEX(Engine_Grid,225+$AB49,$AD49)*(1-$AE49)+INDEX(Engine_Grid,225+$AB49,$AD49+1)*$AE49)))*IF(N($D49)&lt;1,1,$D49))</f>
        <v>0</v>
      </c>
    </row>
    <row r="50" customFormat="false" ht="15" hidden="false" customHeight="false" outlineLevel="0" collapsed="false">
      <c r="A50" s="31" t="n">
        <v>41</v>
      </c>
      <c r="B50" s="11"/>
      <c r="C50" s="11"/>
      <c r="D50" s="32"/>
      <c r="E50" s="33"/>
      <c r="F50" s="34"/>
      <c r="G50" s="35" t="str">
        <f aca="false">IF($AB50="","",IF(INDEX(Lib_Basis,$AB50)="Piece","pcs","cm"))</f>
        <v/>
      </c>
      <c r="H50" s="36" t="n">
        <f aca="false">IF(OR($AB50="",$AC50="",N($AC50)&lt;1,N($AC50)&gt;24),0,IF($AE50=0,INDEX(Engine_Grid,(WeightIdx-1)*75+$AB50,$AD50),IF(OR($AD50&gt;=24,INDEX(Engine_Grid,(WeightIdx-1)*75+$AB50,$AD50)=0,INDEX(Engine_Grid,(WeightIdx-1)*75+$AB50,$AD50+1)=0),0,INDEX(Engine_Grid,(WeightIdx-1)*75+$AB50,$AD50)*(1-$AE50)+INDEX(Engine_Grid,(WeightIdx-1)*75+$AB50,$AD50+1)*$AE50)))</f>
        <v>0</v>
      </c>
      <c r="I50" s="37" t="n">
        <f aca="false">IF(OR($H50=0,N($F50)&lt;=0),0,$F50/100*$H50*IF(N($D50)&lt;1,1,$D50))</f>
        <v>0</v>
      </c>
      <c r="J50" s="38" t="str">
        <f aca="false">IF($AB50="","",INDEX(Lib_Needle,$AB50))</f>
        <v/>
      </c>
      <c r="K50" s="38" t="str">
        <f aca="false">IF($AB50="","",INDEX(Lib_Bobbin,$AB50))</f>
        <v/>
      </c>
      <c r="L50" s="38" t="str">
        <f aca="false">IF($AB50="","",INDEX(Lib_Looper,$AB50))</f>
        <v/>
      </c>
      <c r="M50" s="38" t="str">
        <f aca="false">IF($AB50="","",INDEX(Lib_Cover,$AB50))</f>
        <v/>
      </c>
      <c r="N50" s="11"/>
      <c r="O50" s="39" t="n">
        <f aca="false">IF($I50=0,0,IF($AF50="Y",$I50*$J50/IF(N($D50)&lt;1,1,$D50),$I50*$J50))</f>
        <v>0</v>
      </c>
      <c r="P50" s="11"/>
      <c r="Q50" s="39" t="n">
        <f aca="false">IF(AND($I50&gt;0,$AF50="Y",IF(N($D50)&lt;1,1,$D50)&gt;=2),$I50*$J50/IF(N($D50)&lt;1,1,$D50),0)</f>
        <v>0</v>
      </c>
      <c r="R50" s="11"/>
      <c r="S50" s="39" t="n">
        <f aca="false">IF(AND($I50&gt;0,$AF50="Y",IF(N($D50)&lt;1,1,$D50)&gt;=3),$I50*$J50/IF(N($D50)&lt;1,1,$D50),0)</f>
        <v>0</v>
      </c>
      <c r="T50" s="11"/>
      <c r="U50" s="39" t="n">
        <f aca="false">IF($I50=0,0,$I50*$K50)</f>
        <v>0</v>
      </c>
      <c r="V50" s="11"/>
      <c r="W50" s="39" t="n">
        <f aca="false">IF($I50=0,0,$I50*$L50)</f>
        <v>0</v>
      </c>
      <c r="X50" s="11"/>
      <c r="Y50" s="39" t="n">
        <f aca="false">IF($I50=0,0,$I50*$M50)</f>
        <v>0</v>
      </c>
      <c r="Z50" s="39" t="n">
        <f aca="false">IF($N50="",$O50,0)+IF($P50="",$Q50,0)+IF($R50="",$S50,0)+IF($T50="",$U50,0)+IF($V50="",$W50,0)+IF($X50="",$Y50,0)+IF(AND($AF50="Y",IF(N($D50)&lt;1,1,$D50)&gt;3),$I50*$J50*(IF(N($D50)&lt;1,1,$D50)-3)/IF(N($D50)&lt;1,1,$D50),0)</f>
        <v>0</v>
      </c>
      <c r="AA50" s="40" t="str">
        <f aca="false">IF(AND($C50="",N($F50)=0),"",IF($C50="","⚠ Select a stitch type",IF($AB50="","⚠ Stitch not in library",IF(N($F50)&lt;=0,"⚠ Enter "&amp;IF($G50="pcs","quantity","seam length (cm)"),IF(AND($G50="cm",N($E50)&lt;=0),"⚠ Enter SPI",IF($H50=0,"⚠ No factor at SPI "&amp;$E50&amp;" – valid "&amp;INDEX(Lib_MinSPI,$AB50)&amp;"–"&amp;INDEX(Lib_MaxSPI,$AB50),IF(AND($AF50="Y",IF(N($D50)&lt;1,1,$D50)&gt;3),"⚠ More than 3 rows – thread for extra rows not allocated",IF($Z50&gt;0.00001,"⚠ Assign threads ("&amp;TEXT($Z50,"0.00")&amp;" m unassigned)","✔ OK"))))))))</f>
        <v/>
      </c>
      <c r="AB50" s="16" t="str">
        <f aca="false">IF($C50="","",IFERROR(MATCH($C50,Lib_Names,0),""))</f>
        <v/>
      </c>
      <c r="AC50" s="41" t="str">
        <f aca="false">IF($AB50="","",IF(INDEX(Lib_Basis,$AB50)="Piece",1,N($E50)))</f>
        <v/>
      </c>
      <c r="AD50" s="16" t="str">
        <f aca="false">IF($AC50="","",INT($AC50))</f>
        <v/>
      </c>
      <c r="AE50" s="17" t="str">
        <f aca="false">IF($AC50="","",$AC50-$AD50)</f>
        <v/>
      </c>
      <c r="AF50" s="35" t="str">
        <f aca="false">IF($AB50="","",INDEX(Lib_Multi,$AB50))</f>
        <v/>
      </c>
      <c r="AG50" s="42" t="str">
        <f aca="false">IF($AB50="","",INDEX(Lib_Cat,$AB50))</f>
        <v/>
      </c>
      <c r="AH50" s="39" t="n">
        <f aca="false">IF(N($F50)&lt;=0,0,$F50/100*IF(OR($AB50="",$AC50="",N($AC50)&lt;1,N($AC50)&gt;24),0,IF($AE50=0,INDEX(Engine_Grid,0+$AB50,$AD50),IF(OR($AD50&gt;=24,INDEX(Engine_Grid,0+$AB50,$AD50)=0,INDEX(Engine_Grid,0+$AB50,$AD50+1)=0),0,INDEX(Engine_Grid,0+$AB50,$AD50)*(1-$AE50)+INDEX(Engine_Grid,0+$AB50,$AD50+1)*$AE50)))*IF(N($D50)&lt;1,1,$D50))</f>
        <v>0</v>
      </c>
      <c r="AI50" s="39" t="n">
        <f aca="false">IF(N($F50)&lt;=0,0,$F50/100*IF(OR($AB50="",$AC50="",N($AC50)&lt;1,N($AC50)&gt;24),0,IF($AE50=0,INDEX(Engine_Grid,75+$AB50,$AD50),IF(OR($AD50&gt;=24,INDEX(Engine_Grid,75+$AB50,$AD50)=0,INDEX(Engine_Grid,75+$AB50,$AD50+1)=0),0,INDEX(Engine_Grid,75+$AB50,$AD50)*(1-$AE50)+INDEX(Engine_Grid,75+$AB50,$AD50+1)*$AE50)))*IF(N($D50)&lt;1,1,$D50))</f>
        <v>0</v>
      </c>
      <c r="AJ50" s="39" t="n">
        <f aca="false">IF(N($F50)&lt;=0,0,$F50/100*IF(OR($AB50="",$AC50="",N($AC50)&lt;1,N($AC50)&gt;24),0,IF($AE50=0,INDEX(Engine_Grid,150+$AB50,$AD50),IF(OR($AD50&gt;=24,INDEX(Engine_Grid,150+$AB50,$AD50)=0,INDEX(Engine_Grid,150+$AB50,$AD50+1)=0),0,INDEX(Engine_Grid,150+$AB50,$AD50)*(1-$AE50)+INDEX(Engine_Grid,150+$AB50,$AD50+1)*$AE50)))*IF(N($D50)&lt;1,1,$D50))</f>
        <v>0</v>
      </c>
      <c r="AK50" s="39" t="n">
        <f aca="false">IF(N($F50)&lt;=0,0,$F50/100*IF(OR($AB50="",$AC50="",N($AC50)&lt;1,N($AC50)&gt;24),0,IF($AE50=0,INDEX(Engine_Grid,225+$AB50,$AD50),IF(OR($AD50&gt;=24,INDEX(Engine_Grid,225+$AB50,$AD50)=0,INDEX(Engine_Grid,225+$AB50,$AD50+1)=0),0,INDEX(Engine_Grid,225+$AB50,$AD50)*(1-$AE50)+INDEX(Engine_Grid,225+$AB50,$AD50+1)*$AE50)))*IF(N($D50)&lt;1,1,$D50))</f>
        <v>0</v>
      </c>
    </row>
    <row r="51" customFormat="false" ht="15" hidden="false" customHeight="false" outlineLevel="0" collapsed="false">
      <c r="A51" s="31" t="n">
        <v>42</v>
      </c>
      <c r="B51" s="11"/>
      <c r="C51" s="11"/>
      <c r="D51" s="32"/>
      <c r="E51" s="33"/>
      <c r="F51" s="34"/>
      <c r="G51" s="35" t="str">
        <f aca="false">IF($AB51="","",IF(INDEX(Lib_Basis,$AB51)="Piece","pcs","cm"))</f>
        <v/>
      </c>
      <c r="H51" s="36" t="n">
        <f aca="false">IF(OR($AB51="",$AC51="",N($AC51)&lt;1,N($AC51)&gt;24),0,IF($AE51=0,INDEX(Engine_Grid,(WeightIdx-1)*75+$AB51,$AD51),IF(OR($AD51&gt;=24,INDEX(Engine_Grid,(WeightIdx-1)*75+$AB51,$AD51)=0,INDEX(Engine_Grid,(WeightIdx-1)*75+$AB51,$AD51+1)=0),0,INDEX(Engine_Grid,(WeightIdx-1)*75+$AB51,$AD51)*(1-$AE51)+INDEX(Engine_Grid,(WeightIdx-1)*75+$AB51,$AD51+1)*$AE51)))</f>
        <v>0</v>
      </c>
      <c r="I51" s="37" t="n">
        <f aca="false">IF(OR($H51=0,N($F51)&lt;=0),0,$F51/100*$H51*IF(N($D51)&lt;1,1,$D51))</f>
        <v>0</v>
      </c>
      <c r="J51" s="38" t="str">
        <f aca="false">IF($AB51="","",INDEX(Lib_Needle,$AB51))</f>
        <v/>
      </c>
      <c r="K51" s="38" t="str">
        <f aca="false">IF($AB51="","",INDEX(Lib_Bobbin,$AB51))</f>
        <v/>
      </c>
      <c r="L51" s="38" t="str">
        <f aca="false">IF($AB51="","",INDEX(Lib_Looper,$AB51))</f>
        <v/>
      </c>
      <c r="M51" s="38" t="str">
        <f aca="false">IF($AB51="","",INDEX(Lib_Cover,$AB51))</f>
        <v/>
      </c>
      <c r="N51" s="11"/>
      <c r="O51" s="39" t="n">
        <f aca="false">IF($I51=0,0,IF($AF51="Y",$I51*$J51/IF(N($D51)&lt;1,1,$D51),$I51*$J51))</f>
        <v>0</v>
      </c>
      <c r="P51" s="11"/>
      <c r="Q51" s="39" t="n">
        <f aca="false">IF(AND($I51&gt;0,$AF51="Y",IF(N($D51)&lt;1,1,$D51)&gt;=2),$I51*$J51/IF(N($D51)&lt;1,1,$D51),0)</f>
        <v>0</v>
      </c>
      <c r="R51" s="11"/>
      <c r="S51" s="39" t="n">
        <f aca="false">IF(AND($I51&gt;0,$AF51="Y",IF(N($D51)&lt;1,1,$D51)&gt;=3),$I51*$J51/IF(N($D51)&lt;1,1,$D51),0)</f>
        <v>0</v>
      </c>
      <c r="T51" s="11"/>
      <c r="U51" s="39" t="n">
        <f aca="false">IF($I51=0,0,$I51*$K51)</f>
        <v>0</v>
      </c>
      <c r="V51" s="11"/>
      <c r="W51" s="39" t="n">
        <f aca="false">IF($I51=0,0,$I51*$L51)</f>
        <v>0</v>
      </c>
      <c r="X51" s="11"/>
      <c r="Y51" s="39" t="n">
        <f aca="false">IF($I51=0,0,$I51*$M51)</f>
        <v>0</v>
      </c>
      <c r="Z51" s="39" t="n">
        <f aca="false">IF($N51="",$O51,0)+IF($P51="",$Q51,0)+IF($R51="",$S51,0)+IF($T51="",$U51,0)+IF($V51="",$W51,0)+IF($X51="",$Y51,0)+IF(AND($AF51="Y",IF(N($D51)&lt;1,1,$D51)&gt;3),$I51*$J51*(IF(N($D51)&lt;1,1,$D51)-3)/IF(N($D51)&lt;1,1,$D51),0)</f>
        <v>0</v>
      </c>
      <c r="AA51" s="40" t="str">
        <f aca="false">IF(AND($C51="",N($F51)=0),"",IF($C51="","⚠ Select a stitch type",IF($AB51="","⚠ Stitch not in library",IF(N($F51)&lt;=0,"⚠ Enter "&amp;IF($G51="pcs","quantity","seam length (cm)"),IF(AND($G51="cm",N($E51)&lt;=0),"⚠ Enter SPI",IF($H51=0,"⚠ No factor at SPI "&amp;$E51&amp;" – valid "&amp;INDEX(Lib_MinSPI,$AB51)&amp;"–"&amp;INDEX(Lib_MaxSPI,$AB51),IF(AND($AF51="Y",IF(N($D51)&lt;1,1,$D51)&gt;3),"⚠ More than 3 rows – thread for extra rows not allocated",IF($Z51&gt;0.00001,"⚠ Assign threads ("&amp;TEXT($Z51,"0.00")&amp;" m unassigned)","✔ OK"))))))))</f>
        <v/>
      </c>
      <c r="AB51" s="16" t="str">
        <f aca="false">IF($C51="","",IFERROR(MATCH($C51,Lib_Names,0),""))</f>
        <v/>
      </c>
      <c r="AC51" s="41" t="str">
        <f aca="false">IF($AB51="","",IF(INDEX(Lib_Basis,$AB51)="Piece",1,N($E51)))</f>
        <v/>
      </c>
      <c r="AD51" s="16" t="str">
        <f aca="false">IF($AC51="","",INT($AC51))</f>
        <v/>
      </c>
      <c r="AE51" s="17" t="str">
        <f aca="false">IF($AC51="","",$AC51-$AD51)</f>
        <v/>
      </c>
      <c r="AF51" s="35" t="str">
        <f aca="false">IF($AB51="","",INDEX(Lib_Multi,$AB51))</f>
        <v/>
      </c>
      <c r="AG51" s="42" t="str">
        <f aca="false">IF($AB51="","",INDEX(Lib_Cat,$AB51))</f>
        <v/>
      </c>
      <c r="AH51" s="39" t="n">
        <f aca="false">IF(N($F51)&lt;=0,0,$F51/100*IF(OR($AB51="",$AC51="",N($AC51)&lt;1,N($AC51)&gt;24),0,IF($AE51=0,INDEX(Engine_Grid,0+$AB51,$AD51),IF(OR($AD51&gt;=24,INDEX(Engine_Grid,0+$AB51,$AD51)=0,INDEX(Engine_Grid,0+$AB51,$AD51+1)=0),0,INDEX(Engine_Grid,0+$AB51,$AD51)*(1-$AE51)+INDEX(Engine_Grid,0+$AB51,$AD51+1)*$AE51)))*IF(N($D51)&lt;1,1,$D51))</f>
        <v>0</v>
      </c>
      <c r="AI51" s="39" t="n">
        <f aca="false">IF(N($F51)&lt;=0,0,$F51/100*IF(OR($AB51="",$AC51="",N($AC51)&lt;1,N($AC51)&gt;24),0,IF($AE51=0,INDEX(Engine_Grid,75+$AB51,$AD51),IF(OR($AD51&gt;=24,INDEX(Engine_Grid,75+$AB51,$AD51)=0,INDEX(Engine_Grid,75+$AB51,$AD51+1)=0),0,INDEX(Engine_Grid,75+$AB51,$AD51)*(1-$AE51)+INDEX(Engine_Grid,75+$AB51,$AD51+1)*$AE51)))*IF(N($D51)&lt;1,1,$D51))</f>
        <v>0</v>
      </c>
      <c r="AJ51" s="39" t="n">
        <f aca="false">IF(N($F51)&lt;=0,0,$F51/100*IF(OR($AB51="",$AC51="",N($AC51)&lt;1,N($AC51)&gt;24),0,IF($AE51=0,INDEX(Engine_Grid,150+$AB51,$AD51),IF(OR($AD51&gt;=24,INDEX(Engine_Grid,150+$AB51,$AD51)=0,INDEX(Engine_Grid,150+$AB51,$AD51+1)=0),0,INDEX(Engine_Grid,150+$AB51,$AD51)*(1-$AE51)+INDEX(Engine_Grid,150+$AB51,$AD51+1)*$AE51)))*IF(N($D51)&lt;1,1,$D51))</f>
        <v>0</v>
      </c>
      <c r="AK51" s="39" t="n">
        <f aca="false">IF(N($F51)&lt;=0,0,$F51/100*IF(OR($AB51="",$AC51="",N($AC51)&lt;1,N($AC51)&gt;24),0,IF($AE51=0,INDEX(Engine_Grid,225+$AB51,$AD51),IF(OR($AD51&gt;=24,INDEX(Engine_Grid,225+$AB51,$AD51)=0,INDEX(Engine_Grid,225+$AB51,$AD51+1)=0),0,INDEX(Engine_Grid,225+$AB51,$AD51)*(1-$AE51)+INDEX(Engine_Grid,225+$AB51,$AD51+1)*$AE51)))*IF(N($D51)&lt;1,1,$D51))</f>
        <v>0</v>
      </c>
    </row>
    <row r="52" customFormat="false" ht="15" hidden="false" customHeight="false" outlineLevel="0" collapsed="false">
      <c r="A52" s="31" t="n">
        <v>43</v>
      </c>
      <c r="B52" s="11"/>
      <c r="C52" s="11"/>
      <c r="D52" s="32"/>
      <c r="E52" s="33"/>
      <c r="F52" s="34"/>
      <c r="G52" s="35" t="str">
        <f aca="false">IF($AB52="","",IF(INDEX(Lib_Basis,$AB52)="Piece","pcs","cm"))</f>
        <v/>
      </c>
      <c r="H52" s="36" t="n">
        <f aca="false">IF(OR($AB52="",$AC52="",N($AC52)&lt;1,N($AC52)&gt;24),0,IF($AE52=0,INDEX(Engine_Grid,(WeightIdx-1)*75+$AB52,$AD52),IF(OR($AD52&gt;=24,INDEX(Engine_Grid,(WeightIdx-1)*75+$AB52,$AD52)=0,INDEX(Engine_Grid,(WeightIdx-1)*75+$AB52,$AD52+1)=0),0,INDEX(Engine_Grid,(WeightIdx-1)*75+$AB52,$AD52)*(1-$AE52)+INDEX(Engine_Grid,(WeightIdx-1)*75+$AB52,$AD52+1)*$AE52)))</f>
        <v>0</v>
      </c>
      <c r="I52" s="37" t="n">
        <f aca="false">IF(OR($H52=0,N($F52)&lt;=0),0,$F52/100*$H52*IF(N($D52)&lt;1,1,$D52))</f>
        <v>0</v>
      </c>
      <c r="J52" s="38" t="str">
        <f aca="false">IF($AB52="","",INDEX(Lib_Needle,$AB52))</f>
        <v/>
      </c>
      <c r="K52" s="38" t="str">
        <f aca="false">IF($AB52="","",INDEX(Lib_Bobbin,$AB52))</f>
        <v/>
      </c>
      <c r="L52" s="38" t="str">
        <f aca="false">IF($AB52="","",INDEX(Lib_Looper,$AB52))</f>
        <v/>
      </c>
      <c r="M52" s="38" t="str">
        <f aca="false">IF($AB52="","",INDEX(Lib_Cover,$AB52))</f>
        <v/>
      </c>
      <c r="N52" s="11"/>
      <c r="O52" s="39" t="n">
        <f aca="false">IF($I52=0,0,IF($AF52="Y",$I52*$J52/IF(N($D52)&lt;1,1,$D52),$I52*$J52))</f>
        <v>0</v>
      </c>
      <c r="P52" s="11"/>
      <c r="Q52" s="39" t="n">
        <f aca="false">IF(AND($I52&gt;0,$AF52="Y",IF(N($D52)&lt;1,1,$D52)&gt;=2),$I52*$J52/IF(N($D52)&lt;1,1,$D52),0)</f>
        <v>0</v>
      </c>
      <c r="R52" s="11"/>
      <c r="S52" s="39" t="n">
        <f aca="false">IF(AND($I52&gt;0,$AF52="Y",IF(N($D52)&lt;1,1,$D52)&gt;=3),$I52*$J52/IF(N($D52)&lt;1,1,$D52),0)</f>
        <v>0</v>
      </c>
      <c r="T52" s="11"/>
      <c r="U52" s="39" t="n">
        <f aca="false">IF($I52=0,0,$I52*$K52)</f>
        <v>0</v>
      </c>
      <c r="V52" s="11"/>
      <c r="W52" s="39" t="n">
        <f aca="false">IF($I52=0,0,$I52*$L52)</f>
        <v>0</v>
      </c>
      <c r="X52" s="11"/>
      <c r="Y52" s="39" t="n">
        <f aca="false">IF($I52=0,0,$I52*$M52)</f>
        <v>0</v>
      </c>
      <c r="Z52" s="39" t="n">
        <f aca="false">IF($N52="",$O52,0)+IF($P52="",$Q52,0)+IF($R52="",$S52,0)+IF($T52="",$U52,0)+IF($V52="",$W52,0)+IF($X52="",$Y52,0)+IF(AND($AF52="Y",IF(N($D52)&lt;1,1,$D52)&gt;3),$I52*$J52*(IF(N($D52)&lt;1,1,$D52)-3)/IF(N($D52)&lt;1,1,$D52),0)</f>
        <v>0</v>
      </c>
      <c r="AA52" s="40" t="str">
        <f aca="false">IF(AND($C52="",N($F52)=0),"",IF($C52="","⚠ Select a stitch type",IF($AB52="","⚠ Stitch not in library",IF(N($F52)&lt;=0,"⚠ Enter "&amp;IF($G52="pcs","quantity","seam length (cm)"),IF(AND($G52="cm",N($E52)&lt;=0),"⚠ Enter SPI",IF($H52=0,"⚠ No factor at SPI "&amp;$E52&amp;" – valid "&amp;INDEX(Lib_MinSPI,$AB52)&amp;"–"&amp;INDEX(Lib_MaxSPI,$AB52),IF(AND($AF52="Y",IF(N($D52)&lt;1,1,$D52)&gt;3),"⚠ More than 3 rows – thread for extra rows not allocated",IF($Z52&gt;0.00001,"⚠ Assign threads ("&amp;TEXT($Z52,"0.00")&amp;" m unassigned)","✔ OK"))))))))</f>
        <v/>
      </c>
      <c r="AB52" s="16" t="str">
        <f aca="false">IF($C52="","",IFERROR(MATCH($C52,Lib_Names,0),""))</f>
        <v/>
      </c>
      <c r="AC52" s="41" t="str">
        <f aca="false">IF($AB52="","",IF(INDEX(Lib_Basis,$AB52)="Piece",1,N($E52)))</f>
        <v/>
      </c>
      <c r="AD52" s="16" t="str">
        <f aca="false">IF($AC52="","",INT($AC52))</f>
        <v/>
      </c>
      <c r="AE52" s="17" t="str">
        <f aca="false">IF($AC52="","",$AC52-$AD52)</f>
        <v/>
      </c>
      <c r="AF52" s="35" t="str">
        <f aca="false">IF($AB52="","",INDEX(Lib_Multi,$AB52))</f>
        <v/>
      </c>
      <c r="AG52" s="42" t="str">
        <f aca="false">IF($AB52="","",INDEX(Lib_Cat,$AB52))</f>
        <v/>
      </c>
      <c r="AH52" s="39" t="n">
        <f aca="false">IF(N($F52)&lt;=0,0,$F52/100*IF(OR($AB52="",$AC52="",N($AC52)&lt;1,N($AC52)&gt;24),0,IF($AE52=0,INDEX(Engine_Grid,0+$AB52,$AD52),IF(OR($AD52&gt;=24,INDEX(Engine_Grid,0+$AB52,$AD52)=0,INDEX(Engine_Grid,0+$AB52,$AD52+1)=0),0,INDEX(Engine_Grid,0+$AB52,$AD52)*(1-$AE52)+INDEX(Engine_Grid,0+$AB52,$AD52+1)*$AE52)))*IF(N($D52)&lt;1,1,$D52))</f>
        <v>0</v>
      </c>
      <c r="AI52" s="39" t="n">
        <f aca="false">IF(N($F52)&lt;=0,0,$F52/100*IF(OR($AB52="",$AC52="",N($AC52)&lt;1,N($AC52)&gt;24),0,IF($AE52=0,INDEX(Engine_Grid,75+$AB52,$AD52),IF(OR($AD52&gt;=24,INDEX(Engine_Grid,75+$AB52,$AD52)=0,INDEX(Engine_Grid,75+$AB52,$AD52+1)=0),0,INDEX(Engine_Grid,75+$AB52,$AD52)*(1-$AE52)+INDEX(Engine_Grid,75+$AB52,$AD52+1)*$AE52)))*IF(N($D52)&lt;1,1,$D52))</f>
        <v>0</v>
      </c>
      <c r="AJ52" s="39" t="n">
        <f aca="false">IF(N($F52)&lt;=0,0,$F52/100*IF(OR($AB52="",$AC52="",N($AC52)&lt;1,N($AC52)&gt;24),0,IF($AE52=0,INDEX(Engine_Grid,150+$AB52,$AD52),IF(OR($AD52&gt;=24,INDEX(Engine_Grid,150+$AB52,$AD52)=0,INDEX(Engine_Grid,150+$AB52,$AD52+1)=0),0,INDEX(Engine_Grid,150+$AB52,$AD52)*(1-$AE52)+INDEX(Engine_Grid,150+$AB52,$AD52+1)*$AE52)))*IF(N($D52)&lt;1,1,$D52))</f>
        <v>0</v>
      </c>
      <c r="AK52" s="39" t="n">
        <f aca="false">IF(N($F52)&lt;=0,0,$F52/100*IF(OR($AB52="",$AC52="",N($AC52)&lt;1,N($AC52)&gt;24),0,IF($AE52=0,INDEX(Engine_Grid,225+$AB52,$AD52),IF(OR($AD52&gt;=24,INDEX(Engine_Grid,225+$AB52,$AD52)=0,INDEX(Engine_Grid,225+$AB52,$AD52+1)=0),0,INDEX(Engine_Grid,225+$AB52,$AD52)*(1-$AE52)+INDEX(Engine_Grid,225+$AB52,$AD52+1)*$AE52)))*IF(N($D52)&lt;1,1,$D52))</f>
        <v>0</v>
      </c>
    </row>
    <row r="53" customFormat="false" ht="15" hidden="false" customHeight="false" outlineLevel="0" collapsed="false">
      <c r="A53" s="31" t="n">
        <v>44</v>
      </c>
      <c r="B53" s="11"/>
      <c r="C53" s="11"/>
      <c r="D53" s="32"/>
      <c r="E53" s="33"/>
      <c r="F53" s="34"/>
      <c r="G53" s="35" t="str">
        <f aca="false">IF($AB53="","",IF(INDEX(Lib_Basis,$AB53)="Piece","pcs","cm"))</f>
        <v/>
      </c>
      <c r="H53" s="36" t="n">
        <f aca="false">IF(OR($AB53="",$AC53="",N($AC53)&lt;1,N($AC53)&gt;24),0,IF($AE53=0,INDEX(Engine_Grid,(WeightIdx-1)*75+$AB53,$AD53),IF(OR($AD53&gt;=24,INDEX(Engine_Grid,(WeightIdx-1)*75+$AB53,$AD53)=0,INDEX(Engine_Grid,(WeightIdx-1)*75+$AB53,$AD53+1)=0),0,INDEX(Engine_Grid,(WeightIdx-1)*75+$AB53,$AD53)*(1-$AE53)+INDEX(Engine_Grid,(WeightIdx-1)*75+$AB53,$AD53+1)*$AE53)))</f>
        <v>0</v>
      </c>
      <c r="I53" s="37" t="n">
        <f aca="false">IF(OR($H53=0,N($F53)&lt;=0),0,$F53/100*$H53*IF(N($D53)&lt;1,1,$D53))</f>
        <v>0</v>
      </c>
      <c r="J53" s="38" t="str">
        <f aca="false">IF($AB53="","",INDEX(Lib_Needle,$AB53))</f>
        <v/>
      </c>
      <c r="K53" s="38" t="str">
        <f aca="false">IF($AB53="","",INDEX(Lib_Bobbin,$AB53))</f>
        <v/>
      </c>
      <c r="L53" s="38" t="str">
        <f aca="false">IF($AB53="","",INDEX(Lib_Looper,$AB53))</f>
        <v/>
      </c>
      <c r="M53" s="38" t="str">
        <f aca="false">IF($AB53="","",INDEX(Lib_Cover,$AB53))</f>
        <v/>
      </c>
      <c r="N53" s="11"/>
      <c r="O53" s="39" t="n">
        <f aca="false">IF($I53=0,0,IF($AF53="Y",$I53*$J53/IF(N($D53)&lt;1,1,$D53),$I53*$J53))</f>
        <v>0</v>
      </c>
      <c r="P53" s="11"/>
      <c r="Q53" s="39" t="n">
        <f aca="false">IF(AND($I53&gt;0,$AF53="Y",IF(N($D53)&lt;1,1,$D53)&gt;=2),$I53*$J53/IF(N($D53)&lt;1,1,$D53),0)</f>
        <v>0</v>
      </c>
      <c r="R53" s="11"/>
      <c r="S53" s="39" t="n">
        <f aca="false">IF(AND($I53&gt;0,$AF53="Y",IF(N($D53)&lt;1,1,$D53)&gt;=3),$I53*$J53/IF(N($D53)&lt;1,1,$D53),0)</f>
        <v>0</v>
      </c>
      <c r="T53" s="11"/>
      <c r="U53" s="39" t="n">
        <f aca="false">IF($I53=0,0,$I53*$K53)</f>
        <v>0</v>
      </c>
      <c r="V53" s="11"/>
      <c r="W53" s="39" t="n">
        <f aca="false">IF($I53=0,0,$I53*$L53)</f>
        <v>0</v>
      </c>
      <c r="X53" s="11"/>
      <c r="Y53" s="39" t="n">
        <f aca="false">IF($I53=0,0,$I53*$M53)</f>
        <v>0</v>
      </c>
      <c r="Z53" s="39" t="n">
        <f aca="false">IF($N53="",$O53,0)+IF($P53="",$Q53,0)+IF($R53="",$S53,0)+IF($T53="",$U53,0)+IF($V53="",$W53,0)+IF($X53="",$Y53,0)+IF(AND($AF53="Y",IF(N($D53)&lt;1,1,$D53)&gt;3),$I53*$J53*(IF(N($D53)&lt;1,1,$D53)-3)/IF(N($D53)&lt;1,1,$D53),0)</f>
        <v>0</v>
      </c>
      <c r="AA53" s="40" t="str">
        <f aca="false">IF(AND($C53="",N($F53)=0),"",IF($C53="","⚠ Select a stitch type",IF($AB53="","⚠ Stitch not in library",IF(N($F53)&lt;=0,"⚠ Enter "&amp;IF($G53="pcs","quantity","seam length (cm)"),IF(AND($G53="cm",N($E53)&lt;=0),"⚠ Enter SPI",IF($H53=0,"⚠ No factor at SPI "&amp;$E53&amp;" – valid "&amp;INDEX(Lib_MinSPI,$AB53)&amp;"–"&amp;INDEX(Lib_MaxSPI,$AB53),IF(AND($AF53="Y",IF(N($D53)&lt;1,1,$D53)&gt;3),"⚠ More than 3 rows – thread for extra rows not allocated",IF($Z53&gt;0.00001,"⚠ Assign threads ("&amp;TEXT($Z53,"0.00")&amp;" m unassigned)","✔ OK"))))))))</f>
        <v/>
      </c>
      <c r="AB53" s="16" t="str">
        <f aca="false">IF($C53="","",IFERROR(MATCH($C53,Lib_Names,0),""))</f>
        <v/>
      </c>
      <c r="AC53" s="41" t="str">
        <f aca="false">IF($AB53="","",IF(INDEX(Lib_Basis,$AB53)="Piece",1,N($E53)))</f>
        <v/>
      </c>
      <c r="AD53" s="16" t="str">
        <f aca="false">IF($AC53="","",INT($AC53))</f>
        <v/>
      </c>
      <c r="AE53" s="17" t="str">
        <f aca="false">IF($AC53="","",$AC53-$AD53)</f>
        <v/>
      </c>
      <c r="AF53" s="35" t="str">
        <f aca="false">IF($AB53="","",INDEX(Lib_Multi,$AB53))</f>
        <v/>
      </c>
      <c r="AG53" s="42" t="str">
        <f aca="false">IF($AB53="","",INDEX(Lib_Cat,$AB53))</f>
        <v/>
      </c>
      <c r="AH53" s="39" t="n">
        <f aca="false">IF(N($F53)&lt;=0,0,$F53/100*IF(OR($AB53="",$AC53="",N($AC53)&lt;1,N($AC53)&gt;24),0,IF($AE53=0,INDEX(Engine_Grid,0+$AB53,$AD53),IF(OR($AD53&gt;=24,INDEX(Engine_Grid,0+$AB53,$AD53)=0,INDEX(Engine_Grid,0+$AB53,$AD53+1)=0),0,INDEX(Engine_Grid,0+$AB53,$AD53)*(1-$AE53)+INDEX(Engine_Grid,0+$AB53,$AD53+1)*$AE53)))*IF(N($D53)&lt;1,1,$D53))</f>
        <v>0</v>
      </c>
      <c r="AI53" s="39" t="n">
        <f aca="false">IF(N($F53)&lt;=0,0,$F53/100*IF(OR($AB53="",$AC53="",N($AC53)&lt;1,N($AC53)&gt;24),0,IF($AE53=0,INDEX(Engine_Grid,75+$AB53,$AD53),IF(OR($AD53&gt;=24,INDEX(Engine_Grid,75+$AB53,$AD53)=0,INDEX(Engine_Grid,75+$AB53,$AD53+1)=0),0,INDEX(Engine_Grid,75+$AB53,$AD53)*(1-$AE53)+INDEX(Engine_Grid,75+$AB53,$AD53+1)*$AE53)))*IF(N($D53)&lt;1,1,$D53))</f>
        <v>0</v>
      </c>
      <c r="AJ53" s="39" t="n">
        <f aca="false">IF(N($F53)&lt;=0,0,$F53/100*IF(OR($AB53="",$AC53="",N($AC53)&lt;1,N($AC53)&gt;24),0,IF($AE53=0,INDEX(Engine_Grid,150+$AB53,$AD53),IF(OR($AD53&gt;=24,INDEX(Engine_Grid,150+$AB53,$AD53)=0,INDEX(Engine_Grid,150+$AB53,$AD53+1)=0),0,INDEX(Engine_Grid,150+$AB53,$AD53)*(1-$AE53)+INDEX(Engine_Grid,150+$AB53,$AD53+1)*$AE53)))*IF(N($D53)&lt;1,1,$D53))</f>
        <v>0</v>
      </c>
      <c r="AK53" s="39" t="n">
        <f aca="false">IF(N($F53)&lt;=0,0,$F53/100*IF(OR($AB53="",$AC53="",N($AC53)&lt;1,N($AC53)&gt;24),0,IF($AE53=0,INDEX(Engine_Grid,225+$AB53,$AD53),IF(OR($AD53&gt;=24,INDEX(Engine_Grid,225+$AB53,$AD53)=0,INDEX(Engine_Grid,225+$AB53,$AD53+1)=0),0,INDEX(Engine_Grid,225+$AB53,$AD53)*(1-$AE53)+INDEX(Engine_Grid,225+$AB53,$AD53+1)*$AE53)))*IF(N($D53)&lt;1,1,$D53))</f>
        <v>0</v>
      </c>
    </row>
    <row r="54" customFormat="false" ht="15" hidden="false" customHeight="false" outlineLevel="0" collapsed="false">
      <c r="A54" s="31" t="n">
        <v>45</v>
      </c>
      <c r="B54" s="11"/>
      <c r="C54" s="11"/>
      <c r="D54" s="32"/>
      <c r="E54" s="33"/>
      <c r="F54" s="34"/>
      <c r="G54" s="35" t="str">
        <f aca="false">IF($AB54="","",IF(INDEX(Lib_Basis,$AB54)="Piece","pcs","cm"))</f>
        <v/>
      </c>
      <c r="H54" s="36" t="n">
        <f aca="false">IF(OR($AB54="",$AC54="",N($AC54)&lt;1,N($AC54)&gt;24),0,IF($AE54=0,INDEX(Engine_Grid,(WeightIdx-1)*75+$AB54,$AD54),IF(OR($AD54&gt;=24,INDEX(Engine_Grid,(WeightIdx-1)*75+$AB54,$AD54)=0,INDEX(Engine_Grid,(WeightIdx-1)*75+$AB54,$AD54+1)=0),0,INDEX(Engine_Grid,(WeightIdx-1)*75+$AB54,$AD54)*(1-$AE54)+INDEX(Engine_Grid,(WeightIdx-1)*75+$AB54,$AD54+1)*$AE54)))</f>
        <v>0</v>
      </c>
      <c r="I54" s="37" t="n">
        <f aca="false">IF(OR($H54=0,N($F54)&lt;=0),0,$F54/100*$H54*IF(N($D54)&lt;1,1,$D54))</f>
        <v>0</v>
      </c>
      <c r="J54" s="38" t="str">
        <f aca="false">IF($AB54="","",INDEX(Lib_Needle,$AB54))</f>
        <v/>
      </c>
      <c r="K54" s="38" t="str">
        <f aca="false">IF($AB54="","",INDEX(Lib_Bobbin,$AB54))</f>
        <v/>
      </c>
      <c r="L54" s="38" t="str">
        <f aca="false">IF($AB54="","",INDEX(Lib_Looper,$AB54))</f>
        <v/>
      </c>
      <c r="M54" s="38" t="str">
        <f aca="false">IF($AB54="","",INDEX(Lib_Cover,$AB54))</f>
        <v/>
      </c>
      <c r="N54" s="11"/>
      <c r="O54" s="39" t="n">
        <f aca="false">IF($I54=0,0,IF($AF54="Y",$I54*$J54/IF(N($D54)&lt;1,1,$D54),$I54*$J54))</f>
        <v>0</v>
      </c>
      <c r="P54" s="11"/>
      <c r="Q54" s="39" t="n">
        <f aca="false">IF(AND($I54&gt;0,$AF54="Y",IF(N($D54)&lt;1,1,$D54)&gt;=2),$I54*$J54/IF(N($D54)&lt;1,1,$D54),0)</f>
        <v>0</v>
      </c>
      <c r="R54" s="11"/>
      <c r="S54" s="39" t="n">
        <f aca="false">IF(AND($I54&gt;0,$AF54="Y",IF(N($D54)&lt;1,1,$D54)&gt;=3),$I54*$J54/IF(N($D54)&lt;1,1,$D54),0)</f>
        <v>0</v>
      </c>
      <c r="T54" s="11"/>
      <c r="U54" s="39" t="n">
        <f aca="false">IF($I54=0,0,$I54*$K54)</f>
        <v>0</v>
      </c>
      <c r="V54" s="11"/>
      <c r="W54" s="39" t="n">
        <f aca="false">IF($I54=0,0,$I54*$L54)</f>
        <v>0</v>
      </c>
      <c r="X54" s="11"/>
      <c r="Y54" s="39" t="n">
        <f aca="false">IF($I54=0,0,$I54*$M54)</f>
        <v>0</v>
      </c>
      <c r="Z54" s="39" t="n">
        <f aca="false">IF($N54="",$O54,0)+IF($P54="",$Q54,0)+IF($R54="",$S54,0)+IF($T54="",$U54,0)+IF($V54="",$W54,0)+IF($X54="",$Y54,0)+IF(AND($AF54="Y",IF(N($D54)&lt;1,1,$D54)&gt;3),$I54*$J54*(IF(N($D54)&lt;1,1,$D54)-3)/IF(N($D54)&lt;1,1,$D54),0)</f>
        <v>0</v>
      </c>
      <c r="AA54" s="40" t="str">
        <f aca="false">IF(AND($C54="",N($F54)=0),"",IF($C54="","⚠ Select a stitch type",IF($AB54="","⚠ Stitch not in library",IF(N($F54)&lt;=0,"⚠ Enter "&amp;IF($G54="pcs","quantity","seam length (cm)"),IF(AND($G54="cm",N($E54)&lt;=0),"⚠ Enter SPI",IF($H54=0,"⚠ No factor at SPI "&amp;$E54&amp;" – valid "&amp;INDEX(Lib_MinSPI,$AB54)&amp;"–"&amp;INDEX(Lib_MaxSPI,$AB54),IF(AND($AF54="Y",IF(N($D54)&lt;1,1,$D54)&gt;3),"⚠ More than 3 rows – thread for extra rows not allocated",IF($Z54&gt;0.00001,"⚠ Assign threads ("&amp;TEXT($Z54,"0.00")&amp;" m unassigned)","✔ OK"))))))))</f>
        <v/>
      </c>
      <c r="AB54" s="16" t="str">
        <f aca="false">IF($C54="","",IFERROR(MATCH($C54,Lib_Names,0),""))</f>
        <v/>
      </c>
      <c r="AC54" s="41" t="str">
        <f aca="false">IF($AB54="","",IF(INDEX(Lib_Basis,$AB54)="Piece",1,N($E54)))</f>
        <v/>
      </c>
      <c r="AD54" s="16" t="str">
        <f aca="false">IF($AC54="","",INT($AC54))</f>
        <v/>
      </c>
      <c r="AE54" s="17" t="str">
        <f aca="false">IF($AC54="","",$AC54-$AD54)</f>
        <v/>
      </c>
      <c r="AF54" s="35" t="str">
        <f aca="false">IF($AB54="","",INDEX(Lib_Multi,$AB54))</f>
        <v/>
      </c>
      <c r="AG54" s="42" t="str">
        <f aca="false">IF($AB54="","",INDEX(Lib_Cat,$AB54))</f>
        <v/>
      </c>
      <c r="AH54" s="39" t="n">
        <f aca="false">IF(N($F54)&lt;=0,0,$F54/100*IF(OR($AB54="",$AC54="",N($AC54)&lt;1,N($AC54)&gt;24),0,IF($AE54=0,INDEX(Engine_Grid,0+$AB54,$AD54),IF(OR($AD54&gt;=24,INDEX(Engine_Grid,0+$AB54,$AD54)=0,INDEX(Engine_Grid,0+$AB54,$AD54+1)=0),0,INDEX(Engine_Grid,0+$AB54,$AD54)*(1-$AE54)+INDEX(Engine_Grid,0+$AB54,$AD54+1)*$AE54)))*IF(N($D54)&lt;1,1,$D54))</f>
        <v>0</v>
      </c>
      <c r="AI54" s="39" t="n">
        <f aca="false">IF(N($F54)&lt;=0,0,$F54/100*IF(OR($AB54="",$AC54="",N($AC54)&lt;1,N($AC54)&gt;24),0,IF($AE54=0,INDEX(Engine_Grid,75+$AB54,$AD54),IF(OR($AD54&gt;=24,INDEX(Engine_Grid,75+$AB54,$AD54)=0,INDEX(Engine_Grid,75+$AB54,$AD54+1)=0),0,INDEX(Engine_Grid,75+$AB54,$AD54)*(1-$AE54)+INDEX(Engine_Grid,75+$AB54,$AD54+1)*$AE54)))*IF(N($D54)&lt;1,1,$D54))</f>
        <v>0</v>
      </c>
      <c r="AJ54" s="39" t="n">
        <f aca="false">IF(N($F54)&lt;=0,0,$F54/100*IF(OR($AB54="",$AC54="",N($AC54)&lt;1,N($AC54)&gt;24),0,IF($AE54=0,INDEX(Engine_Grid,150+$AB54,$AD54),IF(OR($AD54&gt;=24,INDEX(Engine_Grid,150+$AB54,$AD54)=0,INDEX(Engine_Grid,150+$AB54,$AD54+1)=0),0,INDEX(Engine_Grid,150+$AB54,$AD54)*(1-$AE54)+INDEX(Engine_Grid,150+$AB54,$AD54+1)*$AE54)))*IF(N($D54)&lt;1,1,$D54))</f>
        <v>0</v>
      </c>
      <c r="AK54" s="39" t="n">
        <f aca="false">IF(N($F54)&lt;=0,0,$F54/100*IF(OR($AB54="",$AC54="",N($AC54)&lt;1,N($AC54)&gt;24),0,IF($AE54=0,INDEX(Engine_Grid,225+$AB54,$AD54),IF(OR($AD54&gt;=24,INDEX(Engine_Grid,225+$AB54,$AD54)=0,INDEX(Engine_Grid,225+$AB54,$AD54+1)=0),0,INDEX(Engine_Grid,225+$AB54,$AD54)*(1-$AE54)+INDEX(Engine_Grid,225+$AB54,$AD54+1)*$AE54)))*IF(N($D54)&lt;1,1,$D54))</f>
        <v>0</v>
      </c>
    </row>
    <row r="55" customFormat="false" ht="15" hidden="false" customHeight="false" outlineLevel="0" collapsed="false">
      <c r="A55" s="31" t="n">
        <v>46</v>
      </c>
      <c r="B55" s="11"/>
      <c r="C55" s="11"/>
      <c r="D55" s="32"/>
      <c r="E55" s="33"/>
      <c r="F55" s="34"/>
      <c r="G55" s="35" t="str">
        <f aca="false">IF($AB55="","",IF(INDEX(Lib_Basis,$AB55)="Piece","pcs","cm"))</f>
        <v/>
      </c>
      <c r="H55" s="36" t="n">
        <f aca="false">IF(OR($AB55="",$AC55="",N($AC55)&lt;1,N($AC55)&gt;24),0,IF($AE55=0,INDEX(Engine_Grid,(WeightIdx-1)*75+$AB55,$AD55),IF(OR($AD55&gt;=24,INDEX(Engine_Grid,(WeightIdx-1)*75+$AB55,$AD55)=0,INDEX(Engine_Grid,(WeightIdx-1)*75+$AB55,$AD55+1)=0),0,INDEX(Engine_Grid,(WeightIdx-1)*75+$AB55,$AD55)*(1-$AE55)+INDEX(Engine_Grid,(WeightIdx-1)*75+$AB55,$AD55+1)*$AE55)))</f>
        <v>0</v>
      </c>
      <c r="I55" s="37" t="n">
        <f aca="false">IF(OR($H55=0,N($F55)&lt;=0),0,$F55/100*$H55*IF(N($D55)&lt;1,1,$D55))</f>
        <v>0</v>
      </c>
      <c r="J55" s="38" t="str">
        <f aca="false">IF($AB55="","",INDEX(Lib_Needle,$AB55))</f>
        <v/>
      </c>
      <c r="K55" s="38" t="str">
        <f aca="false">IF($AB55="","",INDEX(Lib_Bobbin,$AB55))</f>
        <v/>
      </c>
      <c r="L55" s="38" t="str">
        <f aca="false">IF($AB55="","",INDEX(Lib_Looper,$AB55))</f>
        <v/>
      </c>
      <c r="M55" s="38" t="str">
        <f aca="false">IF($AB55="","",INDEX(Lib_Cover,$AB55))</f>
        <v/>
      </c>
      <c r="N55" s="11"/>
      <c r="O55" s="39" t="n">
        <f aca="false">IF($I55=0,0,IF($AF55="Y",$I55*$J55/IF(N($D55)&lt;1,1,$D55),$I55*$J55))</f>
        <v>0</v>
      </c>
      <c r="P55" s="11"/>
      <c r="Q55" s="39" t="n">
        <f aca="false">IF(AND($I55&gt;0,$AF55="Y",IF(N($D55)&lt;1,1,$D55)&gt;=2),$I55*$J55/IF(N($D55)&lt;1,1,$D55),0)</f>
        <v>0</v>
      </c>
      <c r="R55" s="11"/>
      <c r="S55" s="39" t="n">
        <f aca="false">IF(AND($I55&gt;0,$AF55="Y",IF(N($D55)&lt;1,1,$D55)&gt;=3),$I55*$J55/IF(N($D55)&lt;1,1,$D55),0)</f>
        <v>0</v>
      </c>
      <c r="T55" s="11"/>
      <c r="U55" s="39" t="n">
        <f aca="false">IF($I55=0,0,$I55*$K55)</f>
        <v>0</v>
      </c>
      <c r="V55" s="11"/>
      <c r="W55" s="39" t="n">
        <f aca="false">IF($I55=0,0,$I55*$L55)</f>
        <v>0</v>
      </c>
      <c r="X55" s="11"/>
      <c r="Y55" s="39" t="n">
        <f aca="false">IF($I55=0,0,$I55*$M55)</f>
        <v>0</v>
      </c>
      <c r="Z55" s="39" t="n">
        <f aca="false">IF($N55="",$O55,0)+IF($P55="",$Q55,0)+IF($R55="",$S55,0)+IF($T55="",$U55,0)+IF($V55="",$W55,0)+IF($X55="",$Y55,0)+IF(AND($AF55="Y",IF(N($D55)&lt;1,1,$D55)&gt;3),$I55*$J55*(IF(N($D55)&lt;1,1,$D55)-3)/IF(N($D55)&lt;1,1,$D55),0)</f>
        <v>0</v>
      </c>
      <c r="AA55" s="40" t="str">
        <f aca="false">IF(AND($C55="",N($F55)=0),"",IF($C55="","⚠ Select a stitch type",IF($AB55="","⚠ Stitch not in library",IF(N($F55)&lt;=0,"⚠ Enter "&amp;IF($G55="pcs","quantity","seam length (cm)"),IF(AND($G55="cm",N($E55)&lt;=0),"⚠ Enter SPI",IF($H55=0,"⚠ No factor at SPI "&amp;$E55&amp;" – valid "&amp;INDEX(Lib_MinSPI,$AB55)&amp;"–"&amp;INDEX(Lib_MaxSPI,$AB55),IF(AND($AF55="Y",IF(N($D55)&lt;1,1,$D55)&gt;3),"⚠ More than 3 rows – thread for extra rows not allocated",IF($Z55&gt;0.00001,"⚠ Assign threads ("&amp;TEXT($Z55,"0.00")&amp;" m unassigned)","✔ OK"))))))))</f>
        <v/>
      </c>
      <c r="AB55" s="16" t="str">
        <f aca="false">IF($C55="","",IFERROR(MATCH($C55,Lib_Names,0),""))</f>
        <v/>
      </c>
      <c r="AC55" s="41" t="str">
        <f aca="false">IF($AB55="","",IF(INDEX(Lib_Basis,$AB55)="Piece",1,N($E55)))</f>
        <v/>
      </c>
      <c r="AD55" s="16" t="str">
        <f aca="false">IF($AC55="","",INT($AC55))</f>
        <v/>
      </c>
      <c r="AE55" s="17" t="str">
        <f aca="false">IF($AC55="","",$AC55-$AD55)</f>
        <v/>
      </c>
      <c r="AF55" s="35" t="str">
        <f aca="false">IF($AB55="","",INDEX(Lib_Multi,$AB55))</f>
        <v/>
      </c>
      <c r="AG55" s="42" t="str">
        <f aca="false">IF($AB55="","",INDEX(Lib_Cat,$AB55))</f>
        <v/>
      </c>
      <c r="AH55" s="39" t="n">
        <f aca="false">IF(N($F55)&lt;=0,0,$F55/100*IF(OR($AB55="",$AC55="",N($AC55)&lt;1,N($AC55)&gt;24),0,IF($AE55=0,INDEX(Engine_Grid,0+$AB55,$AD55),IF(OR($AD55&gt;=24,INDEX(Engine_Grid,0+$AB55,$AD55)=0,INDEX(Engine_Grid,0+$AB55,$AD55+1)=0),0,INDEX(Engine_Grid,0+$AB55,$AD55)*(1-$AE55)+INDEX(Engine_Grid,0+$AB55,$AD55+1)*$AE55)))*IF(N($D55)&lt;1,1,$D55))</f>
        <v>0</v>
      </c>
      <c r="AI55" s="39" t="n">
        <f aca="false">IF(N($F55)&lt;=0,0,$F55/100*IF(OR($AB55="",$AC55="",N($AC55)&lt;1,N($AC55)&gt;24),0,IF($AE55=0,INDEX(Engine_Grid,75+$AB55,$AD55),IF(OR($AD55&gt;=24,INDEX(Engine_Grid,75+$AB55,$AD55)=0,INDEX(Engine_Grid,75+$AB55,$AD55+1)=0),0,INDEX(Engine_Grid,75+$AB55,$AD55)*(1-$AE55)+INDEX(Engine_Grid,75+$AB55,$AD55+1)*$AE55)))*IF(N($D55)&lt;1,1,$D55))</f>
        <v>0</v>
      </c>
      <c r="AJ55" s="39" t="n">
        <f aca="false">IF(N($F55)&lt;=0,0,$F55/100*IF(OR($AB55="",$AC55="",N($AC55)&lt;1,N($AC55)&gt;24),0,IF($AE55=0,INDEX(Engine_Grid,150+$AB55,$AD55),IF(OR($AD55&gt;=24,INDEX(Engine_Grid,150+$AB55,$AD55)=0,INDEX(Engine_Grid,150+$AB55,$AD55+1)=0),0,INDEX(Engine_Grid,150+$AB55,$AD55)*(1-$AE55)+INDEX(Engine_Grid,150+$AB55,$AD55+1)*$AE55)))*IF(N($D55)&lt;1,1,$D55))</f>
        <v>0</v>
      </c>
      <c r="AK55" s="39" t="n">
        <f aca="false">IF(N($F55)&lt;=0,0,$F55/100*IF(OR($AB55="",$AC55="",N($AC55)&lt;1,N($AC55)&gt;24),0,IF($AE55=0,INDEX(Engine_Grid,225+$AB55,$AD55),IF(OR($AD55&gt;=24,INDEX(Engine_Grid,225+$AB55,$AD55)=0,INDEX(Engine_Grid,225+$AB55,$AD55+1)=0),0,INDEX(Engine_Grid,225+$AB55,$AD55)*(1-$AE55)+INDEX(Engine_Grid,225+$AB55,$AD55+1)*$AE55)))*IF(N($D55)&lt;1,1,$D55))</f>
        <v>0</v>
      </c>
    </row>
    <row r="56" customFormat="false" ht="15" hidden="false" customHeight="false" outlineLevel="0" collapsed="false">
      <c r="A56" s="31" t="n">
        <v>47</v>
      </c>
      <c r="B56" s="11"/>
      <c r="C56" s="11"/>
      <c r="D56" s="32"/>
      <c r="E56" s="33"/>
      <c r="F56" s="34"/>
      <c r="G56" s="35" t="str">
        <f aca="false">IF($AB56="","",IF(INDEX(Lib_Basis,$AB56)="Piece","pcs","cm"))</f>
        <v/>
      </c>
      <c r="H56" s="36" t="n">
        <f aca="false">IF(OR($AB56="",$AC56="",N($AC56)&lt;1,N($AC56)&gt;24),0,IF($AE56=0,INDEX(Engine_Grid,(WeightIdx-1)*75+$AB56,$AD56),IF(OR($AD56&gt;=24,INDEX(Engine_Grid,(WeightIdx-1)*75+$AB56,$AD56)=0,INDEX(Engine_Grid,(WeightIdx-1)*75+$AB56,$AD56+1)=0),0,INDEX(Engine_Grid,(WeightIdx-1)*75+$AB56,$AD56)*(1-$AE56)+INDEX(Engine_Grid,(WeightIdx-1)*75+$AB56,$AD56+1)*$AE56)))</f>
        <v>0</v>
      </c>
      <c r="I56" s="37" t="n">
        <f aca="false">IF(OR($H56=0,N($F56)&lt;=0),0,$F56/100*$H56*IF(N($D56)&lt;1,1,$D56))</f>
        <v>0</v>
      </c>
      <c r="J56" s="38" t="str">
        <f aca="false">IF($AB56="","",INDEX(Lib_Needle,$AB56))</f>
        <v/>
      </c>
      <c r="K56" s="38" t="str">
        <f aca="false">IF($AB56="","",INDEX(Lib_Bobbin,$AB56))</f>
        <v/>
      </c>
      <c r="L56" s="38" t="str">
        <f aca="false">IF($AB56="","",INDEX(Lib_Looper,$AB56))</f>
        <v/>
      </c>
      <c r="M56" s="38" t="str">
        <f aca="false">IF($AB56="","",INDEX(Lib_Cover,$AB56))</f>
        <v/>
      </c>
      <c r="N56" s="11"/>
      <c r="O56" s="39" t="n">
        <f aca="false">IF($I56=0,0,IF($AF56="Y",$I56*$J56/IF(N($D56)&lt;1,1,$D56),$I56*$J56))</f>
        <v>0</v>
      </c>
      <c r="P56" s="11"/>
      <c r="Q56" s="39" t="n">
        <f aca="false">IF(AND($I56&gt;0,$AF56="Y",IF(N($D56)&lt;1,1,$D56)&gt;=2),$I56*$J56/IF(N($D56)&lt;1,1,$D56),0)</f>
        <v>0</v>
      </c>
      <c r="R56" s="11"/>
      <c r="S56" s="39" t="n">
        <f aca="false">IF(AND($I56&gt;0,$AF56="Y",IF(N($D56)&lt;1,1,$D56)&gt;=3),$I56*$J56/IF(N($D56)&lt;1,1,$D56),0)</f>
        <v>0</v>
      </c>
      <c r="T56" s="11"/>
      <c r="U56" s="39" t="n">
        <f aca="false">IF($I56=0,0,$I56*$K56)</f>
        <v>0</v>
      </c>
      <c r="V56" s="11"/>
      <c r="W56" s="39" t="n">
        <f aca="false">IF($I56=0,0,$I56*$L56)</f>
        <v>0</v>
      </c>
      <c r="X56" s="11"/>
      <c r="Y56" s="39" t="n">
        <f aca="false">IF($I56=0,0,$I56*$M56)</f>
        <v>0</v>
      </c>
      <c r="Z56" s="39" t="n">
        <f aca="false">IF($N56="",$O56,0)+IF($P56="",$Q56,0)+IF($R56="",$S56,0)+IF($T56="",$U56,0)+IF($V56="",$W56,0)+IF($X56="",$Y56,0)+IF(AND($AF56="Y",IF(N($D56)&lt;1,1,$D56)&gt;3),$I56*$J56*(IF(N($D56)&lt;1,1,$D56)-3)/IF(N($D56)&lt;1,1,$D56),0)</f>
        <v>0</v>
      </c>
      <c r="AA56" s="40" t="str">
        <f aca="false">IF(AND($C56="",N($F56)=0),"",IF($C56="","⚠ Select a stitch type",IF($AB56="","⚠ Stitch not in library",IF(N($F56)&lt;=0,"⚠ Enter "&amp;IF($G56="pcs","quantity","seam length (cm)"),IF(AND($G56="cm",N($E56)&lt;=0),"⚠ Enter SPI",IF($H56=0,"⚠ No factor at SPI "&amp;$E56&amp;" – valid "&amp;INDEX(Lib_MinSPI,$AB56)&amp;"–"&amp;INDEX(Lib_MaxSPI,$AB56),IF(AND($AF56="Y",IF(N($D56)&lt;1,1,$D56)&gt;3),"⚠ More than 3 rows – thread for extra rows not allocated",IF($Z56&gt;0.00001,"⚠ Assign threads ("&amp;TEXT($Z56,"0.00")&amp;" m unassigned)","✔ OK"))))))))</f>
        <v/>
      </c>
      <c r="AB56" s="16" t="str">
        <f aca="false">IF($C56="","",IFERROR(MATCH($C56,Lib_Names,0),""))</f>
        <v/>
      </c>
      <c r="AC56" s="41" t="str">
        <f aca="false">IF($AB56="","",IF(INDEX(Lib_Basis,$AB56)="Piece",1,N($E56)))</f>
        <v/>
      </c>
      <c r="AD56" s="16" t="str">
        <f aca="false">IF($AC56="","",INT($AC56))</f>
        <v/>
      </c>
      <c r="AE56" s="17" t="str">
        <f aca="false">IF($AC56="","",$AC56-$AD56)</f>
        <v/>
      </c>
      <c r="AF56" s="35" t="str">
        <f aca="false">IF($AB56="","",INDEX(Lib_Multi,$AB56))</f>
        <v/>
      </c>
      <c r="AG56" s="42" t="str">
        <f aca="false">IF($AB56="","",INDEX(Lib_Cat,$AB56))</f>
        <v/>
      </c>
      <c r="AH56" s="39" t="n">
        <f aca="false">IF(N($F56)&lt;=0,0,$F56/100*IF(OR($AB56="",$AC56="",N($AC56)&lt;1,N($AC56)&gt;24),0,IF($AE56=0,INDEX(Engine_Grid,0+$AB56,$AD56),IF(OR($AD56&gt;=24,INDEX(Engine_Grid,0+$AB56,$AD56)=0,INDEX(Engine_Grid,0+$AB56,$AD56+1)=0),0,INDEX(Engine_Grid,0+$AB56,$AD56)*(1-$AE56)+INDEX(Engine_Grid,0+$AB56,$AD56+1)*$AE56)))*IF(N($D56)&lt;1,1,$D56))</f>
        <v>0</v>
      </c>
      <c r="AI56" s="39" t="n">
        <f aca="false">IF(N($F56)&lt;=0,0,$F56/100*IF(OR($AB56="",$AC56="",N($AC56)&lt;1,N($AC56)&gt;24),0,IF($AE56=0,INDEX(Engine_Grid,75+$AB56,$AD56),IF(OR($AD56&gt;=24,INDEX(Engine_Grid,75+$AB56,$AD56)=0,INDEX(Engine_Grid,75+$AB56,$AD56+1)=0),0,INDEX(Engine_Grid,75+$AB56,$AD56)*(1-$AE56)+INDEX(Engine_Grid,75+$AB56,$AD56+1)*$AE56)))*IF(N($D56)&lt;1,1,$D56))</f>
        <v>0</v>
      </c>
      <c r="AJ56" s="39" t="n">
        <f aca="false">IF(N($F56)&lt;=0,0,$F56/100*IF(OR($AB56="",$AC56="",N($AC56)&lt;1,N($AC56)&gt;24),0,IF($AE56=0,INDEX(Engine_Grid,150+$AB56,$AD56),IF(OR($AD56&gt;=24,INDEX(Engine_Grid,150+$AB56,$AD56)=0,INDEX(Engine_Grid,150+$AB56,$AD56+1)=0),0,INDEX(Engine_Grid,150+$AB56,$AD56)*(1-$AE56)+INDEX(Engine_Grid,150+$AB56,$AD56+1)*$AE56)))*IF(N($D56)&lt;1,1,$D56))</f>
        <v>0</v>
      </c>
      <c r="AK56" s="39" t="n">
        <f aca="false">IF(N($F56)&lt;=0,0,$F56/100*IF(OR($AB56="",$AC56="",N($AC56)&lt;1,N($AC56)&gt;24),0,IF($AE56=0,INDEX(Engine_Grid,225+$AB56,$AD56),IF(OR($AD56&gt;=24,INDEX(Engine_Grid,225+$AB56,$AD56)=0,INDEX(Engine_Grid,225+$AB56,$AD56+1)=0),0,INDEX(Engine_Grid,225+$AB56,$AD56)*(1-$AE56)+INDEX(Engine_Grid,225+$AB56,$AD56+1)*$AE56)))*IF(N($D56)&lt;1,1,$D56))</f>
        <v>0</v>
      </c>
    </row>
    <row r="57" customFormat="false" ht="15" hidden="false" customHeight="false" outlineLevel="0" collapsed="false">
      <c r="A57" s="31" t="n">
        <v>48</v>
      </c>
      <c r="B57" s="11"/>
      <c r="C57" s="11"/>
      <c r="D57" s="32"/>
      <c r="E57" s="33"/>
      <c r="F57" s="34"/>
      <c r="G57" s="35" t="str">
        <f aca="false">IF($AB57="","",IF(INDEX(Lib_Basis,$AB57)="Piece","pcs","cm"))</f>
        <v/>
      </c>
      <c r="H57" s="36" t="n">
        <f aca="false">IF(OR($AB57="",$AC57="",N($AC57)&lt;1,N($AC57)&gt;24),0,IF($AE57=0,INDEX(Engine_Grid,(WeightIdx-1)*75+$AB57,$AD57),IF(OR($AD57&gt;=24,INDEX(Engine_Grid,(WeightIdx-1)*75+$AB57,$AD57)=0,INDEX(Engine_Grid,(WeightIdx-1)*75+$AB57,$AD57+1)=0),0,INDEX(Engine_Grid,(WeightIdx-1)*75+$AB57,$AD57)*(1-$AE57)+INDEX(Engine_Grid,(WeightIdx-1)*75+$AB57,$AD57+1)*$AE57)))</f>
        <v>0</v>
      </c>
      <c r="I57" s="37" t="n">
        <f aca="false">IF(OR($H57=0,N($F57)&lt;=0),0,$F57/100*$H57*IF(N($D57)&lt;1,1,$D57))</f>
        <v>0</v>
      </c>
      <c r="J57" s="38" t="str">
        <f aca="false">IF($AB57="","",INDEX(Lib_Needle,$AB57))</f>
        <v/>
      </c>
      <c r="K57" s="38" t="str">
        <f aca="false">IF($AB57="","",INDEX(Lib_Bobbin,$AB57))</f>
        <v/>
      </c>
      <c r="L57" s="38" t="str">
        <f aca="false">IF($AB57="","",INDEX(Lib_Looper,$AB57))</f>
        <v/>
      </c>
      <c r="M57" s="38" t="str">
        <f aca="false">IF($AB57="","",INDEX(Lib_Cover,$AB57))</f>
        <v/>
      </c>
      <c r="N57" s="11"/>
      <c r="O57" s="39" t="n">
        <f aca="false">IF($I57=0,0,IF($AF57="Y",$I57*$J57/IF(N($D57)&lt;1,1,$D57),$I57*$J57))</f>
        <v>0</v>
      </c>
      <c r="P57" s="11"/>
      <c r="Q57" s="39" t="n">
        <f aca="false">IF(AND($I57&gt;0,$AF57="Y",IF(N($D57)&lt;1,1,$D57)&gt;=2),$I57*$J57/IF(N($D57)&lt;1,1,$D57),0)</f>
        <v>0</v>
      </c>
      <c r="R57" s="11"/>
      <c r="S57" s="39" t="n">
        <f aca="false">IF(AND($I57&gt;0,$AF57="Y",IF(N($D57)&lt;1,1,$D57)&gt;=3),$I57*$J57/IF(N($D57)&lt;1,1,$D57),0)</f>
        <v>0</v>
      </c>
      <c r="T57" s="11"/>
      <c r="U57" s="39" t="n">
        <f aca="false">IF($I57=0,0,$I57*$K57)</f>
        <v>0</v>
      </c>
      <c r="V57" s="11"/>
      <c r="W57" s="39" t="n">
        <f aca="false">IF($I57=0,0,$I57*$L57)</f>
        <v>0</v>
      </c>
      <c r="X57" s="11"/>
      <c r="Y57" s="39" t="n">
        <f aca="false">IF($I57=0,0,$I57*$M57)</f>
        <v>0</v>
      </c>
      <c r="Z57" s="39" t="n">
        <f aca="false">IF($N57="",$O57,0)+IF($P57="",$Q57,0)+IF($R57="",$S57,0)+IF($T57="",$U57,0)+IF($V57="",$W57,0)+IF($X57="",$Y57,0)+IF(AND($AF57="Y",IF(N($D57)&lt;1,1,$D57)&gt;3),$I57*$J57*(IF(N($D57)&lt;1,1,$D57)-3)/IF(N($D57)&lt;1,1,$D57),0)</f>
        <v>0</v>
      </c>
      <c r="AA57" s="40" t="str">
        <f aca="false">IF(AND($C57="",N($F57)=0),"",IF($C57="","⚠ Select a stitch type",IF($AB57="","⚠ Stitch not in library",IF(N($F57)&lt;=0,"⚠ Enter "&amp;IF($G57="pcs","quantity","seam length (cm)"),IF(AND($G57="cm",N($E57)&lt;=0),"⚠ Enter SPI",IF($H57=0,"⚠ No factor at SPI "&amp;$E57&amp;" – valid "&amp;INDEX(Lib_MinSPI,$AB57)&amp;"–"&amp;INDEX(Lib_MaxSPI,$AB57),IF(AND($AF57="Y",IF(N($D57)&lt;1,1,$D57)&gt;3),"⚠ More than 3 rows – thread for extra rows not allocated",IF($Z57&gt;0.00001,"⚠ Assign threads ("&amp;TEXT($Z57,"0.00")&amp;" m unassigned)","✔ OK"))))))))</f>
        <v/>
      </c>
      <c r="AB57" s="16" t="str">
        <f aca="false">IF($C57="","",IFERROR(MATCH($C57,Lib_Names,0),""))</f>
        <v/>
      </c>
      <c r="AC57" s="41" t="str">
        <f aca="false">IF($AB57="","",IF(INDEX(Lib_Basis,$AB57)="Piece",1,N($E57)))</f>
        <v/>
      </c>
      <c r="AD57" s="16" t="str">
        <f aca="false">IF($AC57="","",INT($AC57))</f>
        <v/>
      </c>
      <c r="AE57" s="17" t="str">
        <f aca="false">IF($AC57="","",$AC57-$AD57)</f>
        <v/>
      </c>
      <c r="AF57" s="35" t="str">
        <f aca="false">IF($AB57="","",INDEX(Lib_Multi,$AB57))</f>
        <v/>
      </c>
      <c r="AG57" s="42" t="str">
        <f aca="false">IF($AB57="","",INDEX(Lib_Cat,$AB57))</f>
        <v/>
      </c>
      <c r="AH57" s="39" t="n">
        <f aca="false">IF(N($F57)&lt;=0,0,$F57/100*IF(OR($AB57="",$AC57="",N($AC57)&lt;1,N($AC57)&gt;24),0,IF($AE57=0,INDEX(Engine_Grid,0+$AB57,$AD57),IF(OR($AD57&gt;=24,INDEX(Engine_Grid,0+$AB57,$AD57)=0,INDEX(Engine_Grid,0+$AB57,$AD57+1)=0),0,INDEX(Engine_Grid,0+$AB57,$AD57)*(1-$AE57)+INDEX(Engine_Grid,0+$AB57,$AD57+1)*$AE57)))*IF(N($D57)&lt;1,1,$D57))</f>
        <v>0</v>
      </c>
      <c r="AI57" s="39" t="n">
        <f aca="false">IF(N($F57)&lt;=0,0,$F57/100*IF(OR($AB57="",$AC57="",N($AC57)&lt;1,N($AC57)&gt;24),0,IF($AE57=0,INDEX(Engine_Grid,75+$AB57,$AD57),IF(OR($AD57&gt;=24,INDEX(Engine_Grid,75+$AB57,$AD57)=0,INDEX(Engine_Grid,75+$AB57,$AD57+1)=0),0,INDEX(Engine_Grid,75+$AB57,$AD57)*(1-$AE57)+INDEX(Engine_Grid,75+$AB57,$AD57+1)*$AE57)))*IF(N($D57)&lt;1,1,$D57))</f>
        <v>0</v>
      </c>
      <c r="AJ57" s="39" t="n">
        <f aca="false">IF(N($F57)&lt;=0,0,$F57/100*IF(OR($AB57="",$AC57="",N($AC57)&lt;1,N($AC57)&gt;24),0,IF($AE57=0,INDEX(Engine_Grid,150+$AB57,$AD57),IF(OR($AD57&gt;=24,INDEX(Engine_Grid,150+$AB57,$AD57)=0,INDEX(Engine_Grid,150+$AB57,$AD57+1)=0),0,INDEX(Engine_Grid,150+$AB57,$AD57)*(1-$AE57)+INDEX(Engine_Grid,150+$AB57,$AD57+1)*$AE57)))*IF(N($D57)&lt;1,1,$D57))</f>
        <v>0</v>
      </c>
      <c r="AK57" s="39" t="n">
        <f aca="false">IF(N($F57)&lt;=0,0,$F57/100*IF(OR($AB57="",$AC57="",N($AC57)&lt;1,N($AC57)&gt;24),0,IF($AE57=0,INDEX(Engine_Grid,225+$AB57,$AD57),IF(OR($AD57&gt;=24,INDEX(Engine_Grid,225+$AB57,$AD57)=0,INDEX(Engine_Grid,225+$AB57,$AD57+1)=0),0,INDEX(Engine_Grid,225+$AB57,$AD57)*(1-$AE57)+INDEX(Engine_Grid,225+$AB57,$AD57+1)*$AE57)))*IF(N($D57)&lt;1,1,$D57))</f>
        <v>0</v>
      </c>
    </row>
    <row r="58" customFormat="false" ht="15" hidden="false" customHeight="false" outlineLevel="0" collapsed="false">
      <c r="A58" s="31" t="n">
        <v>49</v>
      </c>
      <c r="B58" s="11"/>
      <c r="C58" s="11"/>
      <c r="D58" s="32"/>
      <c r="E58" s="33"/>
      <c r="F58" s="34"/>
      <c r="G58" s="35" t="str">
        <f aca="false">IF($AB58="","",IF(INDEX(Lib_Basis,$AB58)="Piece","pcs","cm"))</f>
        <v/>
      </c>
      <c r="H58" s="36" t="n">
        <f aca="false">IF(OR($AB58="",$AC58="",N($AC58)&lt;1,N($AC58)&gt;24),0,IF($AE58=0,INDEX(Engine_Grid,(WeightIdx-1)*75+$AB58,$AD58),IF(OR($AD58&gt;=24,INDEX(Engine_Grid,(WeightIdx-1)*75+$AB58,$AD58)=0,INDEX(Engine_Grid,(WeightIdx-1)*75+$AB58,$AD58+1)=0),0,INDEX(Engine_Grid,(WeightIdx-1)*75+$AB58,$AD58)*(1-$AE58)+INDEX(Engine_Grid,(WeightIdx-1)*75+$AB58,$AD58+1)*$AE58)))</f>
        <v>0</v>
      </c>
      <c r="I58" s="37" t="n">
        <f aca="false">IF(OR($H58=0,N($F58)&lt;=0),0,$F58/100*$H58*IF(N($D58)&lt;1,1,$D58))</f>
        <v>0</v>
      </c>
      <c r="J58" s="38" t="str">
        <f aca="false">IF($AB58="","",INDEX(Lib_Needle,$AB58))</f>
        <v/>
      </c>
      <c r="K58" s="38" t="str">
        <f aca="false">IF($AB58="","",INDEX(Lib_Bobbin,$AB58))</f>
        <v/>
      </c>
      <c r="L58" s="38" t="str">
        <f aca="false">IF($AB58="","",INDEX(Lib_Looper,$AB58))</f>
        <v/>
      </c>
      <c r="M58" s="38" t="str">
        <f aca="false">IF($AB58="","",INDEX(Lib_Cover,$AB58))</f>
        <v/>
      </c>
      <c r="N58" s="11"/>
      <c r="O58" s="39" t="n">
        <f aca="false">IF($I58=0,0,IF($AF58="Y",$I58*$J58/IF(N($D58)&lt;1,1,$D58),$I58*$J58))</f>
        <v>0</v>
      </c>
      <c r="P58" s="11"/>
      <c r="Q58" s="39" t="n">
        <f aca="false">IF(AND($I58&gt;0,$AF58="Y",IF(N($D58)&lt;1,1,$D58)&gt;=2),$I58*$J58/IF(N($D58)&lt;1,1,$D58),0)</f>
        <v>0</v>
      </c>
      <c r="R58" s="11"/>
      <c r="S58" s="39" t="n">
        <f aca="false">IF(AND($I58&gt;0,$AF58="Y",IF(N($D58)&lt;1,1,$D58)&gt;=3),$I58*$J58/IF(N($D58)&lt;1,1,$D58),0)</f>
        <v>0</v>
      </c>
      <c r="T58" s="11"/>
      <c r="U58" s="39" t="n">
        <f aca="false">IF($I58=0,0,$I58*$K58)</f>
        <v>0</v>
      </c>
      <c r="V58" s="11"/>
      <c r="W58" s="39" t="n">
        <f aca="false">IF($I58=0,0,$I58*$L58)</f>
        <v>0</v>
      </c>
      <c r="X58" s="11"/>
      <c r="Y58" s="39" t="n">
        <f aca="false">IF($I58=0,0,$I58*$M58)</f>
        <v>0</v>
      </c>
      <c r="Z58" s="39" t="n">
        <f aca="false">IF($N58="",$O58,0)+IF($P58="",$Q58,0)+IF($R58="",$S58,0)+IF($T58="",$U58,0)+IF($V58="",$W58,0)+IF($X58="",$Y58,0)+IF(AND($AF58="Y",IF(N($D58)&lt;1,1,$D58)&gt;3),$I58*$J58*(IF(N($D58)&lt;1,1,$D58)-3)/IF(N($D58)&lt;1,1,$D58),0)</f>
        <v>0</v>
      </c>
      <c r="AA58" s="40" t="str">
        <f aca="false">IF(AND($C58="",N($F58)=0),"",IF($C58="","⚠ Select a stitch type",IF($AB58="","⚠ Stitch not in library",IF(N($F58)&lt;=0,"⚠ Enter "&amp;IF($G58="pcs","quantity","seam length (cm)"),IF(AND($G58="cm",N($E58)&lt;=0),"⚠ Enter SPI",IF($H58=0,"⚠ No factor at SPI "&amp;$E58&amp;" – valid "&amp;INDEX(Lib_MinSPI,$AB58)&amp;"–"&amp;INDEX(Lib_MaxSPI,$AB58),IF(AND($AF58="Y",IF(N($D58)&lt;1,1,$D58)&gt;3),"⚠ More than 3 rows – thread for extra rows not allocated",IF($Z58&gt;0.00001,"⚠ Assign threads ("&amp;TEXT($Z58,"0.00")&amp;" m unassigned)","✔ OK"))))))))</f>
        <v/>
      </c>
      <c r="AB58" s="16" t="str">
        <f aca="false">IF($C58="","",IFERROR(MATCH($C58,Lib_Names,0),""))</f>
        <v/>
      </c>
      <c r="AC58" s="41" t="str">
        <f aca="false">IF($AB58="","",IF(INDEX(Lib_Basis,$AB58)="Piece",1,N($E58)))</f>
        <v/>
      </c>
      <c r="AD58" s="16" t="str">
        <f aca="false">IF($AC58="","",INT($AC58))</f>
        <v/>
      </c>
      <c r="AE58" s="17" t="str">
        <f aca="false">IF($AC58="","",$AC58-$AD58)</f>
        <v/>
      </c>
      <c r="AF58" s="35" t="str">
        <f aca="false">IF($AB58="","",INDEX(Lib_Multi,$AB58))</f>
        <v/>
      </c>
      <c r="AG58" s="42" t="str">
        <f aca="false">IF($AB58="","",INDEX(Lib_Cat,$AB58))</f>
        <v/>
      </c>
      <c r="AH58" s="39" t="n">
        <f aca="false">IF(N($F58)&lt;=0,0,$F58/100*IF(OR($AB58="",$AC58="",N($AC58)&lt;1,N($AC58)&gt;24),0,IF($AE58=0,INDEX(Engine_Grid,0+$AB58,$AD58),IF(OR($AD58&gt;=24,INDEX(Engine_Grid,0+$AB58,$AD58)=0,INDEX(Engine_Grid,0+$AB58,$AD58+1)=0),0,INDEX(Engine_Grid,0+$AB58,$AD58)*(1-$AE58)+INDEX(Engine_Grid,0+$AB58,$AD58+1)*$AE58)))*IF(N($D58)&lt;1,1,$D58))</f>
        <v>0</v>
      </c>
      <c r="AI58" s="39" t="n">
        <f aca="false">IF(N($F58)&lt;=0,0,$F58/100*IF(OR($AB58="",$AC58="",N($AC58)&lt;1,N($AC58)&gt;24),0,IF($AE58=0,INDEX(Engine_Grid,75+$AB58,$AD58),IF(OR($AD58&gt;=24,INDEX(Engine_Grid,75+$AB58,$AD58)=0,INDEX(Engine_Grid,75+$AB58,$AD58+1)=0),0,INDEX(Engine_Grid,75+$AB58,$AD58)*(1-$AE58)+INDEX(Engine_Grid,75+$AB58,$AD58+1)*$AE58)))*IF(N($D58)&lt;1,1,$D58))</f>
        <v>0</v>
      </c>
      <c r="AJ58" s="39" t="n">
        <f aca="false">IF(N($F58)&lt;=0,0,$F58/100*IF(OR($AB58="",$AC58="",N($AC58)&lt;1,N($AC58)&gt;24),0,IF($AE58=0,INDEX(Engine_Grid,150+$AB58,$AD58),IF(OR($AD58&gt;=24,INDEX(Engine_Grid,150+$AB58,$AD58)=0,INDEX(Engine_Grid,150+$AB58,$AD58+1)=0),0,INDEX(Engine_Grid,150+$AB58,$AD58)*(1-$AE58)+INDEX(Engine_Grid,150+$AB58,$AD58+1)*$AE58)))*IF(N($D58)&lt;1,1,$D58))</f>
        <v>0</v>
      </c>
      <c r="AK58" s="39" t="n">
        <f aca="false">IF(N($F58)&lt;=0,0,$F58/100*IF(OR($AB58="",$AC58="",N($AC58)&lt;1,N($AC58)&gt;24),0,IF($AE58=0,INDEX(Engine_Grid,225+$AB58,$AD58),IF(OR($AD58&gt;=24,INDEX(Engine_Grid,225+$AB58,$AD58)=0,INDEX(Engine_Grid,225+$AB58,$AD58+1)=0),0,INDEX(Engine_Grid,225+$AB58,$AD58)*(1-$AE58)+INDEX(Engine_Grid,225+$AB58,$AD58+1)*$AE58)))*IF(N($D58)&lt;1,1,$D58))</f>
        <v>0</v>
      </c>
    </row>
    <row r="59" customFormat="false" ht="15" hidden="false" customHeight="false" outlineLevel="0" collapsed="false">
      <c r="A59" s="31" t="n">
        <v>50</v>
      </c>
      <c r="B59" s="11"/>
      <c r="C59" s="11"/>
      <c r="D59" s="32"/>
      <c r="E59" s="33"/>
      <c r="F59" s="34"/>
      <c r="G59" s="35" t="str">
        <f aca="false">IF($AB59="","",IF(INDEX(Lib_Basis,$AB59)="Piece","pcs","cm"))</f>
        <v/>
      </c>
      <c r="H59" s="36" t="n">
        <f aca="false">IF(OR($AB59="",$AC59="",N($AC59)&lt;1,N($AC59)&gt;24),0,IF($AE59=0,INDEX(Engine_Grid,(WeightIdx-1)*75+$AB59,$AD59),IF(OR($AD59&gt;=24,INDEX(Engine_Grid,(WeightIdx-1)*75+$AB59,$AD59)=0,INDEX(Engine_Grid,(WeightIdx-1)*75+$AB59,$AD59+1)=0),0,INDEX(Engine_Grid,(WeightIdx-1)*75+$AB59,$AD59)*(1-$AE59)+INDEX(Engine_Grid,(WeightIdx-1)*75+$AB59,$AD59+1)*$AE59)))</f>
        <v>0</v>
      </c>
      <c r="I59" s="37" t="n">
        <f aca="false">IF(OR($H59=0,N($F59)&lt;=0),0,$F59/100*$H59*IF(N($D59)&lt;1,1,$D59))</f>
        <v>0</v>
      </c>
      <c r="J59" s="38" t="str">
        <f aca="false">IF($AB59="","",INDEX(Lib_Needle,$AB59))</f>
        <v/>
      </c>
      <c r="K59" s="38" t="str">
        <f aca="false">IF($AB59="","",INDEX(Lib_Bobbin,$AB59))</f>
        <v/>
      </c>
      <c r="L59" s="38" t="str">
        <f aca="false">IF($AB59="","",INDEX(Lib_Looper,$AB59))</f>
        <v/>
      </c>
      <c r="M59" s="38" t="str">
        <f aca="false">IF($AB59="","",INDEX(Lib_Cover,$AB59))</f>
        <v/>
      </c>
      <c r="N59" s="11"/>
      <c r="O59" s="39" t="n">
        <f aca="false">IF($I59=0,0,IF($AF59="Y",$I59*$J59/IF(N($D59)&lt;1,1,$D59),$I59*$J59))</f>
        <v>0</v>
      </c>
      <c r="P59" s="11"/>
      <c r="Q59" s="39" t="n">
        <f aca="false">IF(AND($I59&gt;0,$AF59="Y",IF(N($D59)&lt;1,1,$D59)&gt;=2),$I59*$J59/IF(N($D59)&lt;1,1,$D59),0)</f>
        <v>0</v>
      </c>
      <c r="R59" s="11"/>
      <c r="S59" s="39" t="n">
        <f aca="false">IF(AND($I59&gt;0,$AF59="Y",IF(N($D59)&lt;1,1,$D59)&gt;=3),$I59*$J59/IF(N($D59)&lt;1,1,$D59),0)</f>
        <v>0</v>
      </c>
      <c r="T59" s="11"/>
      <c r="U59" s="39" t="n">
        <f aca="false">IF($I59=0,0,$I59*$K59)</f>
        <v>0</v>
      </c>
      <c r="V59" s="11"/>
      <c r="W59" s="39" t="n">
        <f aca="false">IF($I59=0,0,$I59*$L59)</f>
        <v>0</v>
      </c>
      <c r="X59" s="11"/>
      <c r="Y59" s="39" t="n">
        <f aca="false">IF($I59=0,0,$I59*$M59)</f>
        <v>0</v>
      </c>
      <c r="Z59" s="39" t="n">
        <f aca="false">IF($N59="",$O59,0)+IF($P59="",$Q59,0)+IF($R59="",$S59,0)+IF($T59="",$U59,0)+IF($V59="",$W59,0)+IF($X59="",$Y59,0)+IF(AND($AF59="Y",IF(N($D59)&lt;1,1,$D59)&gt;3),$I59*$J59*(IF(N($D59)&lt;1,1,$D59)-3)/IF(N($D59)&lt;1,1,$D59),0)</f>
        <v>0</v>
      </c>
      <c r="AA59" s="40" t="str">
        <f aca="false">IF(AND($C59="",N($F59)=0),"",IF($C59="","⚠ Select a stitch type",IF($AB59="","⚠ Stitch not in library",IF(N($F59)&lt;=0,"⚠ Enter "&amp;IF($G59="pcs","quantity","seam length (cm)"),IF(AND($G59="cm",N($E59)&lt;=0),"⚠ Enter SPI",IF($H59=0,"⚠ No factor at SPI "&amp;$E59&amp;" – valid "&amp;INDEX(Lib_MinSPI,$AB59)&amp;"–"&amp;INDEX(Lib_MaxSPI,$AB59),IF(AND($AF59="Y",IF(N($D59)&lt;1,1,$D59)&gt;3),"⚠ More than 3 rows – thread for extra rows not allocated",IF($Z59&gt;0.00001,"⚠ Assign threads ("&amp;TEXT($Z59,"0.00")&amp;" m unassigned)","✔ OK"))))))))</f>
        <v/>
      </c>
      <c r="AB59" s="16" t="str">
        <f aca="false">IF($C59="","",IFERROR(MATCH($C59,Lib_Names,0),""))</f>
        <v/>
      </c>
      <c r="AC59" s="41" t="str">
        <f aca="false">IF($AB59="","",IF(INDEX(Lib_Basis,$AB59)="Piece",1,N($E59)))</f>
        <v/>
      </c>
      <c r="AD59" s="16" t="str">
        <f aca="false">IF($AC59="","",INT($AC59))</f>
        <v/>
      </c>
      <c r="AE59" s="17" t="str">
        <f aca="false">IF($AC59="","",$AC59-$AD59)</f>
        <v/>
      </c>
      <c r="AF59" s="35" t="str">
        <f aca="false">IF($AB59="","",INDEX(Lib_Multi,$AB59))</f>
        <v/>
      </c>
      <c r="AG59" s="42" t="str">
        <f aca="false">IF($AB59="","",INDEX(Lib_Cat,$AB59))</f>
        <v/>
      </c>
      <c r="AH59" s="39" t="n">
        <f aca="false">IF(N($F59)&lt;=0,0,$F59/100*IF(OR($AB59="",$AC59="",N($AC59)&lt;1,N($AC59)&gt;24),0,IF($AE59=0,INDEX(Engine_Grid,0+$AB59,$AD59),IF(OR($AD59&gt;=24,INDEX(Engine_Grid,0+$AB59,$AD59)=0,INDEX(Engine_Grid,0+$AB59,$AD59+1)=0),0,INDEX(Engine_Grid,0+$AB59,$AD59)*(1-$AE59)+INDEX(Engine_Grid,0+$AB59,$AD59+1)*$AE59)))*IF(N($D59)&lt;1,1,$D59))</f>
        <v>0</v>
      </c>
      <c r="AI59" s="39" t="n">
        <f aca="false">IF(N($F59)&lt;=0,0,$F59/100*IF(OR($AB59="",$AC59="",N($AC59)&lt;1,N($AC59)&gt;24),0,IF($AE59=0,INDEX(Engine_Grid,75+$AB59,$AD59),IF(OR($AD59&gt;=24,INDEX(Engine_Grid,75+$AB59,$AD59)=0,INDEX(Engine_Grid,75+$AB59,$AD59+1)=0),0,INDEX(Engine_Grid,75+$AB59,$AD59)*(1-$AE59)+INDEX(Engine_Grid,75+$AB59,$AD59+1)*$AE59)))*IF(N($D59)&lt;1,1,$D59))</f>
        <v>0</v>
      </c>
      <c r="AJ59" s="39" t="n">
        <f aca="false">IF(N($F59)&lt;=0,0,$F59/100*IF(OR($AB59="",$AC59="",N($AC59)&lt;1,N($AC59)&gt;24),0,IF($AE59=0,INDEX(Engine_Grid,150+$AB59,$AD59),IF(OR($AD59&gt;=24,INDEX(Engine_Grid,150+$AB59,$AD59)=0,INDEX(Engine_Grid,150+$AB59,$AD59+1)=0),0,INDEX(Engine_Grid,150+$AB59,$AD59)*(1-$AE59)+INDEX(Engine_Grid,150+$AB59,$AD59+1)*$AE59)))*IF(N($D59)&lt;1,1,$D59))</f>
        <v>0</v>
      </c>
      <c r="AK59" s="39" t="n">
        <f aca="false">IF(N($F59)&lt;=0,0,$F59/100*IF(OR($AB59="",$AC59="",N($AC59)&lt;1,N($AC59)&gt;24),0,IF($AE59=0,INDEX(Engine_Grid,225+$AB59,$AD59),IF(OR($AD59&gt;=24,INDEX(Engine_Grid,225+$AB59,$AD59)=0,INDEX(Engine_Grid,225+$AB59,$AD59+1)=0),0,INDEX(Engine_Grid,225+$AB59,$AD59)*(1-$AE59)+INDEX(Engine_Grid,225+$AB59,$AD59+1)*$AE59)))*IF(N($D59)&lt;1,1,$D59))</f>
        <v>0</v>
      </c>
    </row>
    <row r="60" customFormat="false" ht="15" hidden="false" customHeight="false" outlineLevel="0" collapsed="false">
      <c r="A60" s="31" t="n">
        <v>51</v>
      </c>
      <c r="B60" s="11"/>
      <c r="C60" s="11"/>
      <c r="D60" s="32"/>
      <c r="E60" s="33"/>
      <c r="F60" s="34"/>
      <c r="G60" s="35" t="str">
        <f aca="false">IF($AB60="","",IF(INDEX(Lib_Basis,$AB60)="Piece","pcs","cm"))</f>
        <v/>
      </c>
      <c r="H60" s="36" t="n">
        <f aca="false">IF(OR($AB60="",$AC60="",N($AC60)&lt;1,N($AC60)&gt;24),0,IF($AE60=0,INDEX(Engine_Grid,(WeightIdx-1)*75+$AB60,$AD60),IF(OR($AD60&gt;=24,INDEX(Engine_Grid,(WeightIdx-1)*75+$AB60,$AD60)=0,INDEX(Engine_Grid,(WeightIdx-1)*75+$AB60,$AD60+1)=0),0,INDEX(Engine_Grid,(WeightIdx-1)*75+$AB60,$AD60)*(1-$AE60)+INDEX(Engine_Grid,(WeightIdx-1)*75+$AB60,$AD60+1)*$AE60)))</f>
        <v>0</v>
      </c>
      <c r="I60" s="37" t="n">
        <f aca="false">IF(OR($H60=0,N($F60)&lt;=0),0,$F60/100*$H60*IF(N($D60)&lt;1,1,$D60))</f>
        <v>0</v>
      </c>
      <c r="J60" s="38" t="str">
        <f aca="false">IF($AB60="","",INDEX(Lib_Needle,$AB60))</f>
        <v/>
      </c>
      <c r="K60" s="38" t="str">
        <f aca="false">IF($AB60="","",INDEX(Lib_Bobbin,$AB60))</f>
        <v/>
      </c>
      <c r="L60" s="38" t="str">
        <f aca="false">IF($AB60="","",INDEX(Lib_Looper,$AB60))</f>
        <v/>
      </c>
      <c r="M60" s="38" t="str">
        <f aca="false">IF($AB60="","",INDEX(Lib_Cover,$AB60))</f>
        <v/>
      </c>
      <c r="N60" s="11"/>
      <c r="O60" s="39" t="n">
        <f aca="false">IF($I60=0,0,IF($AF60="Y",$I60*$J60/IF(N($D60)&lt;1,1,$D60),$I60*$J60))</f>
        <v>0</v>
      </c>
      <c r="P60" s="11"/>
      <c r="Q60" s="39" t="n">
        <f aca="false">IF(AND($I60&gt;0,$AF60="Y",IF(N($D60)&lt;1,1,$D60)&gt;=2),$I60*$J60/IF(N($D60)&lt;1,1,$D60),0)</f>
        <v>0</v>
      </c>
      <c r="R60" s="11"/>
      <c r="S60" s="39" t="n">
        <f aca="false">IF(AND($I60&gt;0,$AF60="Y",IF(N($D60)&lt;1,1,$D60)&gt;=3),$I60*$J60/IF(N($D60)&lt;1,1,$D60),0)</f>
        <v>0</v>
      </c>
      <c r="T60" s="11"/>
      <c r="U60" s="39" t="n">
        <f aca="false">IF($I60=0,0,$I60*$K60)</f>
        <v>0</v>
      </c>
      <c r="V60" s="11"/>
      <c r="W60" s="39" t="n">
        <f aca="false">IF($I60=0,0,$I60*$L60)</f>
        <v>0</v>
      </c>
      <c r="X60" s="11"/>
      <c r="Y60" s="39" t="n">
        <f aca="false">IF($I60=0,0,$I60*$M60)</f>
        <v>0</v>
      </c>
      <c r="Z60" s="39" t="n">
        <f aca="false">IF($N60="",$O60,0)+IF($P60="",$Q60,0)+IF($R60="",$S60,0)+IF($T60="",$U60,0)+IF($V60="",$W60,0)+IF($X60="",$Y60,0)+IF(AND($AF60="Y",IF(N($D60)&lt;1,1,$D60)&gt;3),$I60*$J60*(IF(N($D60)&lt;1,1,$D60)-3)/IF(N($D60)&lt;1,1,$D60),0)</f>
        <v>0</v>
      </c>
      <c r="AA60" s="40" t="str">
        <f aca="false">IF(AND($C60="",N($F60)=0),"",IF($C60="","⚠ Select a stitch type",IF($AB60="","⚠ Stitch not in library",IF(N($F60)&lt;=0,"⚠ Enter "&amp;IF($G60="pcs","quantity","seam length (cm)"),IF(AND($G60="cm",N($E60)&lt;=0),"⚠ Enter SPI",IF($H60=0,"⚠ No factor at SPI "&amp;$E60&amp;" – valid "&amp;INDEX(Lib_MinSPI,$AB60)&amp;"–"&amp;INDEX(Lib_MaxSPI,$AB60),IF(AND($AF60="Y",IF(N($D60)&lt;1,1,$D60)&gt;3),"⚠ More than 3 rows – thread for extra rows not allocated",IF($Z60&gt;0.00001,"⚠ Assign threads ("&amp;TEXT($Z60,"0.00")&amp;" m unassigned)","✔ OK"))))))))</f>
        <v/>
      </c>
      <c r="AB60" s="16" t="str">
        <f aca="false">IF($C60="","",IFERROR(MATCH($C60,Lib_Names,0),""))</f>
        <v/>
      </c>
      <c r="AC60" s="41" t="str">
        <f aca="false">IF($AB60="","",IF(INDEX(Lib_Basis,$AB60)="Piece",1,N($E60)))</f>
        <v/>
      </c>
      <c r="AD60" s="16" t="str">
        <f aca="false">IF($AC60="","",INT($AC60))</f>
        <v/>
      </c>
      <c r="AE60" s="17" t="str">
        <f aca="false">IF($AC60="","",$AC60-$AD60)</f>
        <v/>
      </c>
      <c r="AF60" s="35" t="str">
        <f aca="false">IF($AB60="","",INDEX(Lib_Multi,$AB60))</f>
        <v/>
      </c>
      <c r="AG60" s="42" t="str">
        <f aca="false">IF($AB60="","",INDEX(Lib_Cat,$AB60))</f>
        <v/>
      </c>
      <c r="AH60" s="39" t="n">
        <f aca="false">IF(N($F60)&lt;=0,0,$F60/100*IF(OR($AB60="",$AC60="",N($AC60)&lt;1,N($AC60)&gt;24),0,IF($AE60=0,INDEX(Engine_Grid,0+$AB60,$AD60),IF(OR($AD60&gt;=24,INDEX(Engine_Grid,0+$AB60,$AD60)=0,INDEX(Engine_Grid,0+$AB60,$AD60+1)=0),0,INDEX(Engine_Grid,0+$AB60,$AD60)*(1-$AE60)+INDEX(Engine_Grid,0+$AB60,$AD60+1)*$AE60)))*IF(N($D60)&lt;1,1,$D60))</f>
        <v>0</v>
      </c>
      <c r="AI60" s="39" t="n">
        <f aca="false">IF(N($F60)&lt;=0,0,$F60/100*IF(OR($AB60="",$AC60="",N($AC60)&lt;1,N($AC60)&gt;24),0,IF($AE60=0,INDEX(Engine_Grid,75+$AB60,$AD60),IF(OR($AD60&gt;=24,INDEX(Engine_Grid,75+$AB60,$AD60)=0,INDEX(Engine_Grid,75+$AB60,$AD60+1)=0),0,INDEX(Engine_Grid,75+$AB60,$AD60)*(1-$AE60)+INDEX(Engine_Grid,75+$AB60,$AD60+1)*$AE60)))*IF(N($D60)&lt;1,1,$D60))</f>
        <v>0</v>
      </c>
      <c r="AJ60" s="39" t="n">
        <f aca="false">IF(N($F60)&lt;=0,0,$F60/100*IF(OR($AB60="",$AC60="",N($AC60)&lt;1,N($AC60)&gt;24),0,IF($AE60=0,INDEX(Engine_Grid,150+$AB60,$AD60),IF(OR($AD60&gt;=24,INDEX(Engine_Grid,150+$AB60,$AD60)=0,INDEX(Engine_Grid,150+$AB60,$AD60+1)=0),0,INDEX(Engine_Grid,150+$AB60,$AD60)*(1-$AE60)+INDEX(Engine_Grid,150+$AB60,$AD60+1)*$AE60)))*IF(N($D60)&lt;1,1,$D60))</f>
        <v>0</v>
      </c>
      <c r="AK60" s="39" t="n">
        <f aca="false">IF(N($F60)&lt;=0,0,$F60/100*IF(OR($AB60="",$AC60="",N($AC60)&lt;1,N($AC60)&gt;24),0,IF($AE60=0,INDEX(Engine_Grid,225+$AB60,$AD60),IF(OR($AD60&gt;=24,INDEX(Engine_Grid,225+$AB60,$AD60)=0,INDEX(Engine_Grid,225+$AB60,$AD60+1)=0),0,INDEX(Engine_Grid,225+$AB60,$AD60)*(1-$AE60)+INDEX(Engine_Grid,225+$AB60,$AD60+1)*$AE60)))*IF(N($D60)&lt;1,1,$D60))</f>
        <v>0</v>
      </c>
    </row>
    <row r="61" customFormat="false" ht="15" hidden="false" customHeight="false" outlineLevel="0" collapsed="false">
      <c r="A61" s="31" t="n">
        <v>52</v>
      </c>
      <c r="B61" s="11"/>
      <c r="C61" s="11"/>
      <c r="D61" s="32"/>
      <c r="E61" s="33"/>
      <c r="F61" s="34"/>
      <c r="G61" s="35" t="str">
        <f aca="false">IF($AB61="","",IF(INDEX(Lib_Basis,$AB61)="Piece","pcs","cm"))</f>
        <v/>
      </c>
      <c r="H61" s="36" t="n">
        <f aca="false">IF(OR($AB61="",$AC61="",N($AC61)&lt;1,N($AC61)&gt;24),0,IF($AE61=0,INDEX(Engine_Grid,(WeightIdx-1)*75+$AB61,$AD61),IF(OR($AD61&gt;=24,INDEX(Engine_Grid,(WeightIdx-1)*75+$AB61,$AD61)=0,INDEX(Engine_Grid,(WeightIdx-1)*75+$AB61,$AD61+1)=0),0,INDEX(Engine_Grid,(WeightIdx-1)*75+$AB61,$AD61)*(1-$AE61)+INDEX(Engine_Grid,(WeightIdx-1)*75+$AB61,$AD61+1)*$AE61)))</f>
        <v>0</v>
      </c>
      <c r="I61" s="37" t="n">
        <f aca="false">IF(OR($H61=0,N($F61)&lt;=0),0,$F61/100*$H61*IF(N($D61)&lt;1,1,$D61))</f>
        <v>0</v>
      </c>
      <c r="J61" s="38" t="str">
        <f aca="false">IF($AB61="","",INDEX(Lib_Needle,$AB61))</f>
        <v/>
      </c>
      <c r="K61" s="38" t="str">
        <f aca="false">IF($AB61="","",INDEX(Lib_Bobbin,$AB61))</f>
        <v/>
      </c>
      <c r="L61" s="38" t="str">
        <f aca="false">IF($AB61="","",INDEX(Lib_Looper,$AB61))</f>
        <v/>
      </c>
      <c r="M61" s="38" t="str">
        <f aca="false">IF($AB61="","",INDEX(Lib_Cover,$AB61))</f>
        <v/>
      </c>
      <c r="N61" s="11"/>
      <c r="O61" s="39" t="n">
        <f aca="false">IF($I61=0,0,IF($AF61="Y",$I61*$J61/IF(N($D61)&lt;1,1,$D61),$I61*$J61))</f>
        <v>0</v>
      </c>
      <c r="P61" s="11"/>
      <c r="Q61" s="39" t="n">
        <f aca="false">IF(AND($I61&gt;0,$AF61="Y",IF(N($D61)&lt;1,1,$D61)&gt;=2),$I61*$J61/IF(N($D61)&lt;1,1,$D61),0)</f>
        <v>0</v>
      </c>
      <c r="R61" s="11"/>
      <c r="S61" s="39" t="n">
        <f aca="false">IF(AND($I61&gt;0,$AF61="Y",IF(N($D61)&lt;1,1,$D61)&gt;=3),$I61*$J61/IF(N($D61)&lt;1,1,$D61),0)</f>
        <v>0</v>
      </c>
      <c r="T61" s="11"/>
      <c r="U61" s="39" t="n">
        <f aca="false">IF($I61=0,0,$I61*$K61)</f>
        <v>0</v>
      </c>
      <c r="V61" s="11"/>
      <c r="W61" s="39" t="n">
        <f aca="false">IF($I61=0,0,$I61*$L61)</f>
        <v>0</v>
      </c>
      <c r="X61" s="11"/>
      <c r="Y61" s="39" t="n">
        <f aca="false">IF($I61=0,0,$I61*$M61)</f>
        <v>0</v>
      </c>
      <c r="Z61" s="39" t="n">
        <f aca="false">IF($N61="",$O61,0)+IF($P61="",$Q61,0)+IF($R61="",$S61,0)+IF($T61="",$U61,0)+IF($V61="",$W61,0)+IF($X61="",$Y61,0)+IF(AND($AF61="Y",IF(N($D61)&lt;1,1,$D61)&gt;3),$I61*$J61*(IF(N($D61)&lt;1,1,$D61)-3)/IF(N($D61)&lt;1,1,$D61),0)</f>
        <v>0</v>
      </c>
      <c r="AA61" s="40" t="str">
        <f aca="false">IF(AND($C61="",N($F61)=0),"",IF($C61="","⚠ Select a stitch type",IF($AB61="","⚠ Stitch not in library",IF(N($F61)&lt;=0,"⚠ Enter "&amp;IF($G61="pcs","quantity","seam length (cm)"),IF(AND($G61="cm",N($E61)&lt;=0),"⚠ Enter SPI",IF($H61=0,"⚠ No factor at SPI "&amp;$E61&amp;" – valid "&amp;INDEX(Lib_MinSPI,$AB61)&amp;"–"&amp;INDEX(Lib_MaxSPI,$AB61),IF(AND($AF61="Y",IF(N($D61)&lt;1,1,$D61)&gt;3),"⚠ More than 3 rows – thread for extra rows not allocated",IF($Z61&gt;0.00001,"⚠ Assign threads ("&amp;TEXT($Z61,"0.00")&amp;" m unassigned)","✔ OK"))))))))</f>
        <v/>
      </c>
      <c r="AB61" s="16" t="str">
        <f aca="false">IF($C61="","",IFERROR(MATCH($C61,Lib_Names,0),""))</f>
        <v/>
      </c>
      <c r="AC61" s="41" t="str">
        <f aca="false">IF($AB61="","",IF(INDEX(Lib_Basis,$AB61)="Piece",1,N($E61)))</f>
        <v/>
      </c>
      <c r="AD61" s="16" t="str">
        <f aca="false">IF($AC61="","",INT($AC61))</f>
        <v/>
      </c>
      <c r="AE61" s="17" t="str">
        <f aca="false">IF($AC61="","",$AC61-$AD61)</f>
        <v/>
      </c>
      <c r="AF61" s="35" t="str">
        <f aca="false">IF($AB61="","",INDEX(Lib_Multi,$AB61))</f>
        <v/>
      </c>
      <c r="AG61" s="42" t="str">
        <f aca="false">IF($AB61="","",INDEX(Lib_Cat,$AB61))</f>
        <v/>
      </c>
      <c r="AH61" s="39" t="n">
        <f aca="false">IF(N($F61)&lt;=0,0,$F61/100*IF(OR($AB61="",$AC61="",N($AC61)&lt;1,N($AC61)&gt;24),0,IF($AE61=0,INDEX(Engine_Grid,0+$AB61,$AD61),IF(OR($AD61&gt;=24,INDEX(Engine_Grid,0+$AB61,$AD61)=0,INDEX(Engine_Grid,0+$AB61,$AD61+1)=0),0,INDEX(Engine_Grid,0+$AB61,$AD61)*(1-$AE61)+INDEX(Engine_Grid,0+$AB61,$AD61+1)*$AE61)))*IF(N($D61)&lt;1,1,$D61))</f>
        <v>0</v>
      </c>
      <c r="AI61" s="39" t="n">
        <f aca="false">IF(N($F61)&lt;=0,0,$F61/100*IF(OR($AB61="",$AC61="",N($AC61)&lt;1,N($AC61)&gt;24),0,IF($AE61=0,INDEX(Engine_Grid,75+$AB61,$AD61),IF(OR($AD61&gt;=24,INDEX(Engine_Grid,75+$AB61,$AD61)=0,INDEX(Engine_Grid,75+$AB61,$AD61+1)=0),0,INDEX(Engine_Grid,75+$AB61,$AD61)*(1-$AE61)+INDEX(Engine_Grid,75+$AB61,$AD61+1)*$AE61)))*IF(N($D61)&lt;1,1,$D61))</f>
        <v>0</v>
      </c>
      <c r="AJ61" s="39" t="n">
        <f aca="false">IF(N($F61)&lt;=0,0,$F61/100*IF(OR($AB61="",$AC61="",N($AC61)&lt;1,N($AC61)&gt;24),0,IF($AE61=0,INDEX(Engine_Grid,150+$AB61,$AD61),IF(OR($AD61&gt;=24,INDEX(Engine_Grid,150+$AB61,$AD61)=0,INDEX(Engine_Grid,150+$AB61,$AD61+1)=0),0,INDEX(Engine_Grid,150+$AB61,$AD61)*(1-$AE61)+INDEX(Engine_Grid,150+$AB61,$AD61+1)*$AE61)))*IF(N($D61)&lt;1,1,$D61))</f>
        <v>0</v>
      </c>
      <c r="AK61" s="39" t="n">
        <f aca="false">IF(N($F61)&lt;=0,0,$F61/100*IF(OR($AB61="",$AC61="",N($AC61)&lt;1,N($AC61)&gt;24),0,IF($AE61=0,INDEX(Engine_Grid,225+$AB61,$AD61),IF(OR($AD61&gt;=24,INDEX(Engine_Grid,225+$AB61,$AD61)=0,INDEX(Engine_Grid,225+$AB61,$AD61+1)=0),0,INDEX(Engine_Grid,225+$AB61,$AD61)*(1-$AE61)+INDEX(Engine_Grid,225+$AB61,$AD61+1)*$AE61)))*IF(N($D61)&lt;1,1,$D61))</f>
        <v>0</v>
      </c>
    </row>
    <row r="62" customFormat="false" ht="15" hidden="false" customHeight="false" outlineLevel="0" collapsed="false">
      <c r="A62" s="31" t="n">
        <v>53</v>
      </c>
      <c r="B62" s="11"/>
      <c r="C62" s="11"/>
      <c r="D62" s="32"/>
      <c r="E62" s="33"/>
      <c r="F62" s="34"/>
      <c r="G62" s="35" t="str">
        <f aca="false">IF($AB62="","",IF(INDEX(Lib_Basis,$AB62)="Piece","pcs","cm"))</f>
        <v/>
      </c>
      <c r="H62" s="36" t="n">
        <f aca="false">IF(OR($AB62="",$AC62="",N($AC62)&lt;1,N($AC62)&gt;24),0,IF($AE62=0,INDEX(Engine_Grid,(WeightIdx-1)*75+$AB62,$AD62),IF(OR($AD62&gt;=24,INDEX(Engine_Grid,(WeightIdx-1)*75+$AB62,$AD62)=0,INDEX(Engine_Grid,(WeightIdx-1)*75+$AB62,$AD62+1)=0),0,INDEX(Engine_Grid,(WeightIdx-1)*75+$AB62,$AD62)*(1-$AE62)+INDEX(Engine_Grid,(WeightIdx-1)*75+$AB62,$AD62+1)*$AE62)))</f>
        <v>0</v>
      </c>
      <c r="I62" s="37" t="n">
        <f aca="false">IF(OR($H62=0,N($F62)&lt;=0),0,$F62/100*$H62*IF(N($D62)&lt;1,1,$D62))</f>
        <v>0</v>
      </c>
      <c r="J62" s="38" t="str">
        <f aca="false">IF($AB62="","",INDEX(Lib_Needle,$AB62))</f>
        <v/>
      </c>
      <c r="K62" s="38" t="str">
        <f aca="false">IF($AB62="","",INDEX(Lib_Bobbin,$AB62))</f>
        <v/>
      </c>
      <c r="L62" s="38" t="str">
        <f aca="false">IF($AB62="","",INDEX(Lib_Looper,$AB62))</f>
        <v/>
      </c>
      <c r="M62" s="38" t="str">
        <f aca="false">IF($AB62="","",INDEX(Lib_Cover,$AB62))</f>
        <v/>
      </c>
      <c r="N62" s="11"/>
      <c r="O62" s="39" t="n">
        <f aca="false">IF($I62=0,0,IF($AF62="Y",$I62*$J62/IF(N($D62)&lt;1,1,$D62),$I62*$J62))</f>
        <v>0</v>
      </c>
      <c r="P62" s="11"/>
      <c r="Q62" s="39" t="n">
        <f aca="false">IF(AND($I62&gt;0,$AF62="Y",IF(N($D62)&lt;1,1,$D62)&gt;=2),$I62*$J62/IF(N($D62)&lt;1,1,$D62),0)</f>
        <v>0</v>
      </c>
      <c r="R62" s="11"/>
      <c r="S62" s="39" t="n">
        <f aca="false">IF(AND($I62&gt;0,$AF62="Y",IF(N($D62)&lt;1,1,$D62)&gt;=3),$I62*$J62/IF(N($D62)&lt;1,1,$D62),0)</f>
        <v>0</v>
      </c>
      <c r="T62" s="11"/>
      <c r="U62" s="39" t="n">
        <f aca="false">IF($I62=0,0,$I62*$K62)</f>
        <v>0</v>
      </c>
      <c r="V62" s="11"/>
      <c r="W62" s="39" t="n">
        <f aca="false">IF($I62=0,0,$I62*$L62)</f>
        <v>0</v>
      </c>
      <c r="X62" s="11"/>
      <c r="Y62" s="39" t="n">
        <f aca="false">IF($I62=0,0,$I62*$M62)</f>
        <v>0</v>
      </c>
      <c r="Z62" s="39" t="n">
        <f aca="false">IF($N62="",$O62,0)+IF($P62="",$Q62,0)+IF($R62="",$S62,0)+IF($T62="",$U62,0)+IF($V62="",$W62,0)+IF($X62="",$Y62,0)+IF(AND($AF62="Y",IF(N($D62)&lt;1,1,$D62)&gt;3),$I62*$J62*(IF(N($D62)&lt;1,1,$D62)-3)/IF(N($D62)&lt;1,1,$D62),0)</f>
        <v>0</v>
      </c>
      <c r="AA62" s="40" t="str">
        <f aca="false">IF(AND($C62="",N($F62)=0),"",IF($C62="","⚠ Select a stitch type",IF($AB62="","⚠ Stitch not in library",IF(N($F62)&lt;=0,"⚠ Enter "&amp;IF($G62="pcs","quantity","seam length (cm)"),IF(AND($G62="cm",N($E62)&lt;=0),"⚠ Enter SPI",IF($H62=0,"⚠ No factor at SPI "&amp;$E62&amp;" – valid "&amp;INDEX(Lib_MinSPI,$AB62)&amp;"–"&amp;INDEX(Lib_MaxSPI,$AB62),IF(AND($AF62="Y",IF(N($D62)&lt;1,1,$D62)&gt;3),"⚠ More than 3 rows – thread for extra rows not allocated",IF($Z62&gt;0.00001,"⚠ Assign threads ("&amp;TEXT($Z62,"0.00")&amp;" m unassigned)","✔ OK"))))))))</f>
        <v/>
      </c>
      <c r="AB62" s="16" t="str">
        <f aca="false">IF($C62="","",IFERROR(MATCH($C62,Lib_Names,0),""))</f>
        <v/>
      </c>
      <c r="AC62" s="41" t="str">
        <f aca="false">IF($AB62="","",IF(INDEX(Lib_Basis,$AB62)="Piece",1,N($E62)))</f>
        <v/>
      </c>
      <c r="AD62" s="16" t="str">
        <f aca="false">IF($AC62="","",INT($AC62))</f>
        <v/>
      </c>
      <c r="AE62" s="17" t="str">
        <f aca="false">IF($AC62="","",$AC62-$AD62)</f>
        <v/>
      </c>
      <c r="AF62" s="35" t="str">
        <f aca="false">IF($AB62="","",INDEX(Lib_Multi,$AB62))</f>
        <v/>
      </c>
      <c r="AG62" s="42" t="str">
        <f aca="false">IF($AB62="","",INDEX(Lib_Cat,$AB62))</f>
        <v/>
      </c>
      <c r="AH62" s="39" t="n">
        <f aca="false">IF(N($F62)&lt;=0,0,$F62/100*IF(OR($AB62="",$AC62="",N($AC62)&lt;1,N($AC62)&gt;24),0,IF($AE62=0,INDEX(Engine_Grid,0+$AB62,$AD62),IF(OR($AD62&gt;=24,INDEX(Engine_Grid,0+$AB62,$AD62)=0,INDEX(Engine_Grid,0+$AB62,$AD62+1)=0),0,INDEX(Engine_Grid,0+$AB62,$AD62)*(1-$AE62)+INDEX(Engine_Grid,0+$AB62,$AD62+1)*$AE62)))*IF(N($D62)&lt;1,1,$D62))</f>
        <v>0</v>
      </c>
      <c r="AI62" s="39" t="n">
        <f aca="false">IF(N($F62)&lt;=0,0,$F62/100*IF(OR($AB62="",$AC62="",N($AC62)&lt;1,N($AC62)&gt;24),0,IF($AE62=0,INDEX(Engine_Grid,75+$AB62,$AD62),IF(OR($AD62&gt;=24,INDEX(Engine_Grid,75+$AB62,$AD62)=0,INDEX(Engine_Grid,75+$AB62,$AD62+1)=0),0,INDEX(Engine_Grid,75+$AB62,$AD62)*(1-$AE62)+INDEX(Engine_Grid,75+$AB62,$AD62+1)*$AE62)))*IF(N($D62)&lt;1,1,$D62))</f>
        <v>0</v>
      </c>
      <c r="AJ62" s="39" t="n">
        <f aca="false">IF(N($F62)&lt;=0,0,$F62/100*IF(OR($AB62="",$AC62="",N($AC62)&lt;1,N($AC62)&gt;24),0,IF($AE62=0,INDEX(Engine_Grid,150+$AB62,$AD62),IF(OR($AD62&gt;=24,INDEX(Engine_Grid,150+$AB62,$AD62)=0,INDEX(Engine_Grid,150+$AB62,$AD62+1)=0),0,INDEX(Engine_Grid,150+$AB62,$AD62)*(1-$AE62)+INDEX(Engine_Grid,150+$AB62,$AD62+1)*$AE62)))*IF(N($D62)&lt;1,1,$D62))</f>
        <v>0</v>
      </c>
      <c r="AK62" s="39" t="n">
        <f aca="false">IF(N($F62)&lt;=0,0,$F62/100*IF(OR($AB62="",$AC62="",N($AC62)&lt;1,N($AC62)&gt;24),0,IF($AE62=0,INDEX(Engine_Grid,225+$AB62,$AD62),IF(OR($AD62&gt;=24,INDEX(Engine_Grid,225+$AB62,$AD62)=0,INDEX(Engine_Grid,225+$AB62,$AD62+1)=0),0,INDEX(Engine_Grid,225+$AB62,$AD62)*(1-$AE62)+INDEX(Engine_Grid,225+$AB62,$AD62+1)*$AE62)))*IF(N($D62)&lt;1,1,$D62))</f>
        <v>0</v>
      </c>
    </row>
    <row r="63" customFormat="false" ht="15" hidden="false" customHeight="false" outlineLevel="0" collapsed="false">
      <c r="A63" s="31" t="n">
        <v>54</v>
      </c>
      <c r="B63" s="11"/>
      <c r="C63" s="11"/>
      <c r="D63" s="32"/>
      <c r="E63" s="33"/>
      <c r="F63" s="34"/>
      <c r="G63" s="35" t="str">
        <f aca="false">IF($AB63="","",IF(INDEX(Lib_Basis,$AB63)="Piece","pcs","cm"))</f>
        <v/>
      </c>
      <c r="H63" s="36" t="n">
        <f aca="false">IF(OR($AB63="",$AC63="",N($AC63)&lt;1,N($AC63)&gt;24),0,IF($AE63=0,INDEX(Engine_Grid,(WeightIdx-1)*75+$AB63,$AD63),IF(OR($AD63&gt;=24,INDEX(Engine_Grid,(WeightIdx-1)*75+$AB63,$AD63)=0,INDEX(Engine_Grid,(WeightIdx-1)*75+$AB63,$AD63+1)=0),0,INDEX(Engine_Grid,(WeightIdx-1)*75+$AB63,$AD63)*(1-$AE63)+INDEX(Engine_Grid,(WeightIdx-1)*75+$AB63,$AD63+1)*$AE63)))</f>
        <v>0</v>
      </c>
      <c r="I63" s="37" t="n">
        <f aca="false">IF(OR($H63=0,N($F63)&lt;=0),0,$F63/100*$H63*IF(N($D63)&lt;1,1,$D63))</f>
        <v>0</v>
      </c>
      <c r="J63" s="38" t="str">
        <f aca="false">IF($AB63="","",INDEX(Lib_Needle,$AB63))</f>
        <v/>
      </c>
      <c r="K63" s="38" t="str">
        <f aca="false">IF($AB63="","",INDEX(Lib_Bobbin,$AB63))</f>
        <v/>
      </c>
      <c r="L63" s="38" t="str">
        <f aca="false">IF($AB63="","",INDEX(Lib_Looper,$AB63))</f>
        <v/>
      </c>
      <c r="M63" s="38" t="str">
        <f aca="false">IF($AB63="","",INDEX(Lib_Cover,$AB63))</f>
        <v/>
      </c>
      <c r="N63" s="11"/>
      <c r="O63" s="39" t="n">
        <f aca="false">IF($I63=0,0,IF($AF63="Y",$I63*$J63/IF(N($D63)&lt;1,1,$D63),$I63*$J63))</f>
        <v>0</v>
      </c>
      <c r="P63" s="11"/>
      <c r="Q63" s="39" t="n">
        <f aca="false">IF(AND($I63&gt;0,$AF63="Y",IF(N($D63)&lt;1,1,$D63)&gt;=2),$I63*$J63/IF(N($D63)&lt;1,1,$D63),0)</f>
        <v>0</v>
      </c>
      <c r="R63" s="11"/>
      <c r="S63" s="39" t="n">
        <f aca="false">IF(AND($I63&gt;0,$AF63="Y",IF(N($D63)&lt;1,1,$D63)&gt;=3),$I63*$J63/IF(N($D63)&lt;1,1,$D63),0)</f>
        <v>0</v>
      </c>
      <c r="T63" s="11"/>
      <c r="U63" s="39" t="n">
        <f aca="false">IF($I63=0,0,$I63*$K63)</f>
        <v>0</v>
      </c>
      <c r="V63" s="11"/>
      <c r="W63" s="39" t="n">
        <f aca="false">IF($I63=0,0,$I63*$L63)</f>
        <v>0</v>
      </c>
      <c r="X63" s="11"/>
      <c r="Y63" s="39" t="n">
        <f aca="false">IF($I63=0,0,$I63*$M63)</f>
        <v>0</v>
      </c>
      <c r="Z63" s="39" t="n">
        <f aca="false">IF($N63="",$O63,0)+IF($P63="",$Q63,0)+IF($R63="",$S63,0)+IF($T63="",$U63,0)+IF($V63="",$W63,0)+IF($X63="",$Y63,0)+IF(AND($AF63="Y",IF(N($D63)&lt;1,1,$D63)&gt;3),$I63*$J63*(IF(N($D63)&lt;1,1,$D63)-3)/IF(N($D63)&lt;1,1,$D63),0)</f>
        <v>0</v>
      </c>
      <c r="AA63" s="40" t="str">
        <f aca="false">IF(AND($C63="",N($F63)=0),"",IF($C63="","⚠ Select a stitch type",IF($AB63="","⚠ Stitch not in library",IF(N($F63)&lt;=0,"⚠ Enter "&amp;IF($G63="pcs","quantity","seam length (cm)"),IF(AND($G63="cm",N($E63)&lt;=0),"⚠ Enter SPI",IF($H63=0,"⚠ No factor at SPI "&amp;$E63&amp;" – valid "&amp;INDEX(Lib_MinSPI,$AB63)&amp;"–"&amp;INDEX(Lib_MaxSPI,$AB63),IF(AND($AF63="Y",IF(N($D63)&lt;1,1,$D63)&gt;3),"⚠ More than 3 rows – thread for extra rows not allocated",IF($Z63&gt;0.00001,"⚠ Assign threads ("&amp;TEXT($Z63,"0.00")&amp;" m unassigned)","✔ OK"))))))))</f>
        <v/>
      </c>
      <c r="AB63" s="16" t="str">
        <f aca="false">IF($C63="","",IFERROR(MATCH($C63,Lib_Names,0),""))</f>
        <v/>
      </c>
      <c r="AC63" s="41" t="str">
        <f aca="false">IF($AB63="","",IF(INDEX(Lib_Basis,$AB63)="Piece",1,N($E63)))</f>
        <v/>
      </c>
      <c r="AD63" s="16" t="str">
        <f aca="false">IF($AC63="","",INT($AC63))</f>
        <v/>
      </c>
      <c r="AE63" s="17" t="str">
        <f aca="false">IF($AC63="","",$AC63-$AD63)</f>
        <v/>
      </c>
      <c r="AF63" s="35" t="str">
        <f aca="false">IF($AB63="","",INDEX(Lib_Multi,$AB63))</f>
        <v/>
      </c>
      <c r="AG63" s="42" t="str">
        <f aca="false">IF($AB63="","",INDEX(Lib_Cat,$AB63))</f>
        <v/>
      </c>
      <c r="AH63" s="39" t="n">
        <f aca="false">IF(N($F63)&lt;=0,0,$F63/100*IF(OR($AB63="",$AC63="",N($AC63)&lt;1,N($AC63)&gt;24),0,IF($AE63=0,INDEX(Engine_Grid,0+$AB63,$AD63),IF(OR($AD63&gt;=24,INDEX(Engine_Grid,0+$AB63,$AD63)=0,INDEX(Engine_Grid,0+$AB63,$AD63+1)=0),0,INDEX(Engine_Grid,0+$AB63,$AD63)*(1-$AE63)+INDEX(Engine_Grid,0+$AB63,$AD63+1)*$AE63)))*IF(N($D63)&lt;1,1,$D63))</f>
        <v>0</v>
      </c>
      <c r="AI63" s="39" t="n">
        <f aca="false">IF(N($F63)&lt;=0,0,$F63/100*IF(OR($AB63="",$AC63="",N($AC63)&lt;1,N($AC63)&gt;24),0,IF($AE63=0,INDEX(Engine_Grid,75+$AB63,$AD63),IF(OR($AD63&gt;=24,INDEX(Engine_Grid,75+$AB63,$AD63)=0,INDEX(Engine_Grid,75+$AB63,$AD63+1)=0),0,INDEX(Engine_Grid,75+$AB63,$AD63)*(1-$AE63)+INDEX(Engine_Grid,75+$AB63,$AD63+1)*$AE63)))*IF(N($D63)&lt;1,1,$D63))</f>
        <v>0</v>
      </c>
      <c r="AJ63" s="39" t="n">
        <f aca="false">IF(N($F63)&lt;=0,0,$F63/100*IF(OR($AB63="",$AC63="",N($AC63)&lt;1,N($AC63)&gt;24),0,IF($AE63=0,INDEX(Engine_Grid,150+$AB63,$AD63),IF(OR($AD63&gt;=24,INDEX(Engine_Grid,150+$AB63,$AD63)=0,INDEX(Engine_Grid,150+$AB63,$AD63+1)=0),0,INDEX(Engine_Grid,150+$AB63,$AD63)*(1-$AE63)+INDEX(Engine_Grid,150+$AB63,$AD63+1)*$AE63)))*IF(N($D63)&lt;1,1,$D63))</f>
        <v>0</v>
      </c>
      <c r="AK63" s="39" t="n">
        <f aca="false">IF(N($F63)&lt;=0,0,$F63/100*IF(OR($AB63="",$AC63="",N($AC63)&lt;1,N($AC63)&gt;24),0,IF($AE63=0,INDEX(Engine_Grid,225+$AB63,$AD63),IF(OR($AD63&gt;=24,INDEX(Engine_Grid,225+$AB63,$AD63)=0,INDEX(Engine_Grid,225+$AB63,$AD63+1)=0),0,INDEX(Engine_Grid,225+$AB63,$AD63)*(1-$AE63)+INDEX(Engine_Grid,225+$AB63,$AD63+1)*$AE63)))*IF(N($D63)&lt;1,1,$D63))</f>
        <v>0</v>
      </c>
    </row>
    <row r="64" customFormat="false" ht="15" hidden="false" customHeight="false" outlineLevel="0" collapsed="false">
      <c r="A64" s="31" t="n">
        <v>55</v>
      </c>
      <c r="B64" s="11"/>
      <c r="C64" s="11"/>
      <c r="D64" s="32"/>
      <c r="E64" s="33"/>
      <c r="F64" s="34"/>
      <c r="G64" s="35" t="str">
        <f aca="false">IF($AB64="","",IF(INDEX(Lib_Basis,$AB64)="Piece","pcs","cm"))</f>
        <v/>
      </c>
      <c r="H64" s="36" t="n">
        <f aca="false">IF(OR($AB64="",$AC64="",N($AC64)&lt;1,N($AC64)&gt;24),0,IF($AE64=0,INDEX(Engine_Grid,(WeightIdx-1)*75+$AB64,$AD64),IF(OR($AD64&gt;=24,INDEX(Engine_Grid,(WeightIdx-1)*75+$AB64,$AD64)=0,INDEX(Engine_Grid,(WeightIdx-1)*75+$AB64,$AD64+1)=0),0,INDEX(Engine_Grid,(WeightIdx-1)*75+$AB64,$AD64)*(1-$AE64)+INDEX(Engine_Grid,(WeightIdx-1)*75+$AB64,$AD64+1)*$AE64)))</f>
        <v>0</v>
      </c>
      <c r="I64" s="37" t="n">
        <f aca="false">IF(OR($H64=0,N($F64)&lt;=0),0,$F64/100*$H64*IF(N($D64)&lt;1,1,$D64))</f>
        <v>0</v>
      </c>
      <c r="J64" s="38" t="str">
        <f aca="false">IF($AB64="","",INDEX(Lib_Needle,$AB64))</f>
        <v/>
      </c>
      <c r="K64" s="38" t="str">
        <f aca="false">IF($AB64="","",INDEX(Lib_Bobbin,$AB64))</f>
        <v/>
      </c>
      <c r="L64" s="38" t="str">
        <f aca="false">IF($AB64="","",INDEX(Lib_Looper,$AB64))</f>
        <v/>
      </c>
      <c r="M64" s="38" t="str">
        <f aca="false">IF($AB64="","",INDEX(Lib_Cover,$AB64))</f>
        <v/>
      </c>
      <c r="N64" s="11"/>
      <c r="O64" s="39" t="n">
        <f aca="false">IF($I64=0,0,IF($AF64="Y",$I64*$J64/IF(N($D64)&lt;1,1,$D64),$I64*$J64))</f>
        <v>0</v>
      </c>
      <c r="P64" s="11"/>
      <c r="Q64" s="39" t="n">
        <f aca="false">IF(AND($I64&gt;0,$AF64="Y",IF(N($D64)&lt;1,1,$D64)&gt;=2),$I64*$J64/IF(N($D64)&lt;1,1,$D64),0)</f>
        <v>0</v>
      </c>
      <c r="R64" s="11"/>
      <c r="S64" s="39" t="n">
        <f aca="false">IF(AND($I64&gt;0,$AF64="Y",IF(N($D64)&lt;1,1,$D64)&gt;=3),$I64*$J64/IF(N($D64)&lt;1,1,$D64),0)</f>
        <v>0</v>
      </c>
      <c r="T64" s="11"/>
      <c r="U64" s="39" t="n">
        <f aca="false">IF($I64=0,0,$I64*$K64)</f>
        <v>0</v>
      </c>
      <c r="V64" s="11"/>
      <c r="W64" s="39" t="n">
        <f aca="false">IF($I64=0,0,$I64*$L64)</f>
        <v>0</v>
      </c>
      <c r="X64" s="11"/>
      <c r="Y64" s="39" t="n">
        <f aca="false">IF($I64=0,0,$I64*$M64)</f>
        <v>0</v>
      </c>
      <c r="Z64" s="39" t="n">
        <f aca="false">IF($N64="",$O64,0)+IF($P64="",$Q64,0)+IF($R64="",$S64,0)+IF($T64="",$U64,0)+IF($V64="",$W64,0)+IF($X64="",$Y64,0)+IF(AND($AF64="Y",IF(N($D64)&lt;1,1,$D64)&gt;3),$I64*$J64*(IF(N($D64)&lt;1,1,$D64)-3)/IF(N($D64)&lt;1,1,$D64),0)</f>
        <v>0</v>
      </c>
      <c r="AA64" s="40" t="str">
        <f aca="false">IF(AND($C64="",N($F64)=0),"",IF($C64="","⚠ Select a stitch type",IF($AB64="","⚠ Stitch not in library",IF(N($F64)&lt;=0,"⚠ Enter "&amp;IF($G64="pcs","quantity","seam length (cm)"),IF(AND($G64="cm",N($E64)&lt;=0),"⚠ Enter SPI",IF($H64=0,"⚠ No factor at SPI "&amp;$E64&amp;" – valid "&amp;INDEX(Lib_MinSPI,$AB64)&amp;"–"&amp;INDEX(Lib_MaxSPI,$AB64),IF(AND($AF64="Y",IF(N($D64)&lt;1,1,$D64)&gt;3),"⚠ More than 3 rows – thread for extra rows not allocated",IF($Z64&gt;0.00001,"⚠ Assign threads ("&amp;TEXT($Z64,"0.00")&amp;" m unassigned)","✔ OK"))))))))</f>
        <v/>
      </c>
      <c r="AB64" s="16" t="str">
        <f aca="false">IF($C64="","",IFERROR(MATCH($C64,Lib_Names,0),""))</f>
        <v/>
      </c>
      <c r="AC64" s="41" t="str">
        <f aca="false">IF($AB64="","",IF(INDEX(Lib_Basis,$AB64)="Piece",1,N($E64)))</f>
        <v/>
      </c>
      <c r="AD64" s="16" t="str">
        <f aca="false">IF($AC64="","",INT($AC64))</f>
        <v/>
      </c>
      <c r="AE64" s="17" t="str">
        <f aca="false">IF($AC64="","",$AC64-$AD64)</f>
        <v/>
      </c>
      <c r="AF64" s="35" t="str">
        <f aca="false">IF($AB64="","",INDEX(Lib_Multi,$AB64))</f>
        <v/>
      </c>
      <c r="AG64" s="42" t="str">
        <f aca="false">IF($AB64="","",INDEX(Lib_Cat,$AB64))</f>
        <v/>
      </c>
      <c r="AH64" s="39" t="n">
        <f aca="false">IF(N($F64)&lt;=0,0,$F64/100*IF(OR($AB64="",$AC64="",N($AC64)&lt;1,N($AC64)&gt;24),0,IF($AE64=0,INDEX(Engine_Grid,0+$AB64,$AD64),IF(OR($AD64&gt;=24,INDEX(Engine_Grid,0+$AB64,$AD64)=0,INDEX(Engine_Grid,0+$AB64,$AD64+1)=0),0,INDEX(Engine_Grid,0+$AB64,$AD64)*(1-$AE64)+INDEX(Engine_Grid,0+$AB64,$AD64+1)*$AE64)))*IF(N($D64)&lt;1,1,$D64))</f>
        <v>0</v>
      </c>
      <c r="AI64" s="39" t="n">
        <f aca="false">IF(N($F64)&lt;=0,0,$F64/100*IF(OR($AB64="",$AC64="",N($AC64)&lt;1,N($AC64)&gt;24),0,IF($AE64=0,INDEX(Engine_Grid,75+$AB64,$AD64),IF(OR($AD64&gt;=24,INDEX(Engine_Grid,75+$AB64,$AD64)=0,INDEX(Engine_Grid,75+$AB64,$AD64+1)=0),0,INDEX(Engine_Grid,75+$AB64,$AD64)*(1-$AE64)+INDEX(Engine_Grid,75+$AB64,$AD64+1)*$AE64)))*IF(N($D64)&lt;1,1,$D64))</f>
        <v>0</v>
      </c>
      <c r="AJ64" s="39" t="n">
        <f aca="false">IF(N($F64)&lt;=0,0,$F64/100*IF(OR($AB64="",$AC64="",N($AC64)&lt;1,N($AC64)&gt;24),0,IF($AE64=0,INDEX(Engine_Grid,150+$AB64,$AD64),IF(OR($AD64&gt;=24,INDEX(Engine_Grid,150+$AB64,$AD64)=0,INDEX(Engine_Grid,150+$AB64,$AD64+1)=0),0,INDEX(Engine_Grid,150+$AB64,$AD64)*(1-$AE64)+INDEX(Engine_Grid,150+$AB64,$AD64+1)*$AE64)))*IF(N($D64)&lt;1,1,$D64))</f>
        <v>0</v>
      </c>
      <c r="AK64" s="39" t="n">
        <f aca="false">IF(N($F64)&lt;=0,0,$F64/100*IF(OR($AB64="",$AC64="",N($AC64)&lt;1,N($AC64)&gt;24),0,IF($AE64=0,INDEX(Engine_Grid,225+$AB64,$AD64),IF(OR($AD64&gt;=24,INDEX(Engine_Grid,225+$AB64,$AD64)=0,INDEX(Engine_Grid,225+$AB64,$AD64+1)=0),0,INDEX(Engine_Grid,225+$AB64,$AD64)*(1-$AE64)+INDEX(Engine_Grid,225+$AB64,$AD64+1)*$AE64)))*IF(N($D64)&lt;1,1,$D64))</f>
        <v>0</v>
      </c>
    </row>
    <row r="65" customFormat="false" ht="15" hidden="false" customHeight="false" outlineLevel="0" collapsed="false">
      <c r="A65" s="31" t="n">
        <v>56</v>
      </c>
      <c r="B65" s="11"/>
      <c r="C65" s="11"/>
      <c r="D65" s="32"/>
      <c r="E65" s="33"/>
      <c r="F65" s="34"/>
      <c r="G65" s="35" t="str">
        <f aca="false">IF($AB65="","",IF(INDEX(Lib_Basis,$AB65)="Piece","pcs","cm"))</f>
        <v/>
      </c>
      <c r="H65" s="36" t="n">
        <f aca="false">IF(OR($AB65="",$AC65="",N($AC65)&lt;1,N($AC65)&gt;24),0,IF($AE65=0,INDEX(Engine_Grid,(WeightIdx-1)*75+$AB65,$AD65),IF(OR($AD65&gt;=24,INDEX(Engine_Grid,(WeightIdx-1)*75+$AB65,$AD65)=0,INDEX(Engine_Grid,(WeightIdx-1)*75+$AB65,$AD65+1)=0),0,INDEX(Engine_Grid,(WeightIdx-1)*75+$AB65,$AD65)*(1-$AE65)+INDEX(Engine_Grid,(WeightIdx-1)*75+$AB65,$AD65+1)*$AE65)))</f>
        <v>0</v>
      </c>
      <c r="I65" s="37" t="n">
        <f aca="false">IF(OR($H65=0,N($F65)&lt;=0),0,$F65/100*$H65*IF(N($D65)&lt;1,1,$D65))</f>
        <v>0</v>
      </c>
      <c r="J65" s="38" t="str">
        <f aca="false">IF($AB65="","",INDEX(Lib_Needle,$AB65))</f>
        <v/>
      </c>
      <c r="K65" s="38" t="str">
        <f aca="false">IF($AB65="","",INDEX(Lib_Bobbin,$AB65))</f>
        <v/>
      </c>
      <c r="L65" s="38" t="str">
        <f aca="false">IF($AB65="","",INDEX(Lib_Looper,$AB65))</f>
        <v/>
      </c>
      <c r="M65" s="38" t="str">
        <f aca="false">IF($AB65="","",INDEX(Lib_Cover,$AB65))</f>
        <v/>
      </c>
      <c r="N65" s="11"/>
      <c r="O65" s="39" t="n">
        <f aca="false">IF($I65=0,0,IF($AF65="Y",$I65*$J65/IF(N($D65)&lt;1,1,$D65),$I65*$J65))</f>
        <v>0</v>
      </c>
      <c r="P65" s="11"/>
      <c r="Q65" s="39" t="n">
        <f aca="false">IF(AND($I65&gt;0,$AF65="Y",IF(N($D65)&lt;1,1,$D65)&gt;=2),$I65*$J65/IF(N($D65)&lt;1,1,$D65),0)</f>
        <v>0</v>
      </c>
      <c r="R65" s="11"/>
      <c r="S65" s="39" t="n">
        <f aca="false">IF(AND($I65&gt;0,$AF65="Y",IF(N($D65)&lt;1,1,$D65)&gt;=3),$I65*$J65/IF(N($D65)&lt;1,1,$D65),0)</f>
        <v>0</v>
      </c>
      <c r="T65" s="11"/>
      <c r="U65" s="39" t="n">
        <f aca="false">IF($I65=0,0,$I65*$K65)</f>
        <v>0</v>
      </c>
      <c r="V65" s="11"/>
      <c r="W65" s="39" t="n">
        <f aca="false">IF($I65=0,0,$I65*$L65)</f>
        <v>0</v>
      </c>
      <c r="X65" s="11"/>
      <c r="Y65" s="39" t="n">
        <f aca="false">IF($I65=0,0,$I65*$M65)</f>
        <v>0</v>
      </c>
      <c r="Z65" s="39" t="n">
        <f aca="false">IF($N65="",$O65,0)+IF($P65="",$Q65,0)+IF($R65="",$S65,0)+IF($T65="",$U65,0)+IF($V65="",$W65,0)+IF($X65="",$Y65,0)+IF(AND($AF65="Y",IF(N($D65)&lt;1,1,$D65)&gt;3),$I65*$J65*(IF(N($D65)&lt;1,1,$D65)-3)/IF(N($D65)&lt;1,1,$D65),0)</f>
        <v>0</v>
      </c>
      <c r="AA65" s="40" t="str">
        <f aca="false">IF(AND($C65="",N($F65)=0),"",IF($C65="","⚠ Select a stitch type",IF($AB65="","⚠ Stitch not in library",IF(N($F65)&lt;=0,"⚠ Enter "&amp;IF($G65="pcs","quantity","seam length (cm)"),IF(AND($G65="cm",N($E65)&lt;=0),"⚠ Enter SPI",IF($H65=0,"⚠ No factor at SPI "&amp;$E65&amp;" – valid "&amp;INDEX(Lib_MinSPI,$AB65)&amp;"–"&amp;INDEX(Lib_MaxSPI,$AB65),IF(AND($AF65="Y",IF(N($D65)&lt;1,1,$D65)&gt;3),"⚠ More than 3 rows – thread for extra rows not allocated",IF($Z65&gt;0.00001,"⚠ Assign threads ("&amp;TEXT($Z65,"0.00")&amp;" m unassigned)","✔ OK"))))))))</f>
        <v/>
      </c>
      <c r="AB65" s="16" t="str">
        <f aca="false">IF($C65="","",IFERROR(MATCH($C65,Lib_Names,0),""))</f>
        <v/>
      </c>
      <c r="AC65" s="41" t="str">
        <f aca="false">IF($AB65="","",IF(INDEX(Lib_Basis,$AB65)="Piece",1,N($E65)))</f>
        <v/>
      </c>
      <c r="AD65" s="16" t="str">
        <f aca="false">IF($AC65="","",INT($AC65))</f>
        <v/>
      </c>
      <c r="AE65" s="17" t="str">
        <f aca="false">IF($AC65="","",$AC65-$AD65)</f>
        <v/>
      </c>
      <c r="AF65" s="35" t="str">
        <f aca="false">IF($AB65="","",INDEX(Lib_Multi,$AB65))</f>
        <v/>
      </c>
      <c r="AG65" s="42" t="str">
        <f aca="false">IF($AB65="","",INDEX(Lib_Cat,$AB65))</f>
        <v/>
      </c>
      <c r="AH65" s="39" t="n">
        <f aca="false">IF(N($F65)&lt;=0,0,$F65/100*IF(OR($AB65="",$AC65="",N($AC65)&lt;1,N($AC65)&gt;24),0,IF($AE65=0,INDEX(Engine_Grid,0+$AB65,$AD65),IF(OR($AD65&gt;=24,INDEX(Engine_Grid,0+$AB65,$AD65)=0,INDEX(Engine_Grid,0+$AB65,$AD65+1)=0),0,INDEX(Engine_Grid,0+$AB65,$AD65)*(1-$AE65)+INDEX(Engine_Grid,0+$AB65,$AD65+1)*$AE65)))*IF(N($D65)&lt;1,1,$D65))</f>
        <v>0</v>
      </c>
      <c r="AI65" s="39" t="n">
        <f aca="false">IF(N($F65)&lt;=0,0,$F65/100*IF(OR($AB65="",$AC65="",N($AC65)&lt;1,N($AC65)&gt;24),0,IF($AE65=0,INDEX(Engine_Grid,75+$AB65,$AD65),IF(OR($AD65&gt;=24,INDEX(Engine_Grid,75+$AB65,$AD65)=0,INDEX(Engine_Grid,75+$AB65,$AD65+1)=0),0,INDEX(Engine_Grid,75+$AB65,$AD65)*(1-$AE65)+INDEX(Engine_Grid,75+$AB65,$AD65+1)*$AE65)))*IF(N($D65)&lt;1,1,$D65))</f>
        <v>0</v>
      </c>
      <c r="AJ65" s="39" t="n">
        <f aca="false">IF(N($F65)&lt;=0,0,$F65/100*IF(OR($AB65="",$AC65="",N($AC65)&lt;1,N($AC65)&gt;24),0,IF($AE65=0,INDEX(Engine_Grid,150+$AB65,$AD65),IF(OR($AD65&gt;=24,INDEX(Engine_Grid,150+$AB65,$AD65)=0,INDEX(Engine_Grid,150+$AB65,$AD65+1)=0),0,INDEX(Engine_Grid,150+$AB65,$AD65)*(1-$AE65)+INDEX(Engine_Grid,150+$AB65,$AD65+1)*$AE65)))*IF(N($D65)&lt;1,1,$D65))</f>
        <v>0</v>
      </c>
      <c r="AK65" s="39" t="n">
        <f aca="false">IF(N($F65)&lt;=0,0,$F65/100*IF(OR($AB65="",$AC65="",N($AC65)&lt;1,N($AC65)&gt;24),0,IF($AE65=0,INDEX(Engine_Grid,225+$AB65,$AD65),IF(OR($AD65&gt;=24,INDEX(Engine_Grid,225+$AB65,$AD65)=0,INDEX(Engine_Grid,225+$AB65,$AD65+1)=0),0,INDEX(Engine_Grid,225+$AB65,$AD65)*(1-$AE65)+INDEX(Engine_Grid,225+$AB65,$AD65+1)*$AE65)))*IF(N($D65)&lt;1,1,$D65))</f>
        <v>0</v>
      </c>
    </row>
    <row r="66" customFormat="false" ht="15" hidden="false" customHeight="false" outlineLevel="0" collapsed="false">
      <c r="A66" s="31" t="n">
        <v>57</v>
      </c>
      <c r="B66" s="11"/>
      <c r="C66" s="11"/>
      <c r="D66" s="32"/>
      <c r="E66" s="33"/>
      <c r="F66" s="34"/>
      <c r="G66" s="35" t="str">
        <f aca="false">IF($AB66="","",IF(INDEX(Lib_Basis,$AB66)="Piece","pcs","cm"))</f>
        <v/>
      </c>
      <c r="H66" s="36" t="n">
        <f aca="false">IF(OR($AB66="",$AC66="",N($AC66)&lt;1,N($AC66)&gt;24),0,IF($AE66=0,INDEX(Engine_Grid,(WeightIdx-1)*75+$AB66,$AD66),IF(OR($AD66&gt;=24,INDEX(Engine_Grid,(WeightIdx-1)*75+$AB66,$AD66)=0,INDEX(Engine_Grid,(WeightIdx-1)*75+$AB66,$AD66+1)=0),0,INDEX(Engine_Grid,(WeightIdx-1)*75+$AB66,$AD66)*(1-$AE66)+INDEX(Engine_Grid,(WeightIdx-1)*75+$AB66,$AD66+1)*$AE66)))</f>
        <v>0</v>
      </c>
      <c r="I66" s="37" t="n">
        <f aca="false">IF(OR($H66=0,N($F66)&lt;=0),0,$F66/100*$H66*IF(N($D66)&lt;1,1,$D66))</f>
        <v>0</v>
      </c>
      <c r="J66" s="38" t="str">
        <f aca="false">IF($AB66="","",INDEX(Lib_Needle,$AB66))</f>
        <v/>
      </c>
      <c r="K66" s="38" t="str">
        <f aca="false">IF($AB66="","",INDEX(Lib_Bobbin,$AB66))</f>
        <v/>
      </c>
      <c r="L66" s="38" t="str">
        <f aca="false">IF($AB66="","",INDEX(Lib_Looper,$AB66))</f>
        <v/>
      </c>
      <c r="M66" s="38" t="str">
        <f aca="false">IF($AB66="","",INDEX(Lib_Cover,$AB66))</f>
        <v/>
      </c>
      <c r="N66" s="11"/>
      <c r="O66" s="39" t="n">
        <f aca="false">IF($I66=0,0,IF($AF66="Y",$I66*$J66/IF(N($D66)&lt;1,1,$D66),$I66*$J66))</f>
        <v>0</v>
      </c>
      <c r="P66" s="11"/>
      <c r="Q66" s="39" t="n">
        <f aca="false">IF(AND($I66&gt;0,$AF66="Y",IF(N($D66)&lt;1,1,$D66)&gt;=2),$I66*$J66/IF(N($D66)&lt;1,1,$D66),0)</f>
        <v>0</v>
      </c>
      <c r="R66" s="11"/>
      <c r="S66" s="39" t="n">
        <f aca="false">IF(AND($I66&gt;0,$AF66="Y",IF(N($D66)&lt;1,1,$D66)&gt;=3),$I66*$J66/IF(N($D66)&lt;1,1,$D66),0)</f>
        <v>0</v>
      </c>
      <c r="T66" s="11"/>
      <c r="U66" s="39" t="n">
        <f aca="false">IF($I66=0,0,$I66*$K66)</f>
        <v>0</v>
      </c>
      <c r="V66" s="11"/>
      <c r="W66" s="39" t="n">
        <f aca="false">IF($I66=0,0,$I66*$L66)</f>
        <v>0</v>
      </c>
      <c r="X66" s="11"/>
      <c r="Y66" s="39" t="n">
        <f aca="false">IF($I66=0,0,$I66*$M66)</f>
        <v>0</v>
      </c>
      <c r="Z66" s="39" t="n">
        <f aca="false">IF($N66="",$O66,0)+IF($P66="",$Q66,0)+IF($R66="",$S66,0)+IF($T66="",$U66,0)+IF($V66="",$W66,0)+IF($X66="",$Y66,0)+IF(AND($AF66="Y",IF(N($D66)&lt;1,1,$D66)&gt;3),$I66*$J66*(IF(N($D66)&lt;1,1,$D66)-3)/IF(N($D66)&lt;1,1,$D66),0)</f>
        <v>0</v>
      </c>
      <c r="AA66" s="40" t="str">
        <f aca="false">IF(AND($C66="",N($F66)=0),"",IF($C66="","⚠ Select a stitch type",IF($AB66="","⚠ Stitch not in library",IF(N($F66)&lt;=0,"⚠ Enter "&amp;IF($G66="pcs","quantity","seam length (cm)"),IF(AND($G66="cm",N($E66)&lt;=0),"⚠ Enter SPI",IF($H66=0,"⚠ No factor at SPI "&amp;$E66&amp;" – valid "&amp;INDEX(Lib_MinSPI,$AB66)&amp;"–"&amp;INDEX(Lib_MaxSPI,$AB66),IF(AND($AF66="Y",IF(N($D66)&lt;1,1,$D66)&gt;3),"⚠ More than 3 rows – thread for extra rows not allocated",IF($Z66&gt;0.00001,"⚠ Assign threads ("&amp;TEXT($Z66,"0.00")&amp;" m unassigned)","✔ OK"))))))))</f>
        <v/>
      </c>
      <c r="AB66" s="16" t="str">
        <f aca="false">IF($C66="","",IFERROR(MATCH($C66,Lib_Names,0),""))</f>
        <v/>
      </c>
      <c r="AC66" s="41" t="str">
        <f aca="false">IF($AB66="","",IF(INDEX(Lib_Basis,$AB66)="Piece",1,N($E66)))</f>
        <v/>
      </c>
      <c r="AD66" s="16" t="str">
        <f aca="false">IF($AC66="","",INT($AC66))</f>
        <v/>
      </c>
      <c r="AE66" s="17" t="str">
        <f aca="false">IF($AC66="","",$AC66-$AD66)</f>
        <v/>
      </c>
      <c r="AF66" s="35" t="str">
        <f aca="false">IF($AB66="","",INDEX(Lib_Multi,$AB66))</f>
        <v/>
      </c>
      <c r="AG66" s="42" t="str">
        <f aca="false">IF($AB66="","",INDEX(Lib_Cat,$AB66))</f>
        <v/>
      </c>
      <c r="AH66" s="39" t="n">
        <f aca="false">IF(N($F66)&lt;=0,0,$F66/100*IF(OR($AB66="",$AC66="",N($AC66)&lt;1,N($AC66)&gt;24),0,IF($AE66=0,INDEX(Engine_Grid,0+$AB66,$AD66),IF(OR($AD66&gt;=24,INDEX(Engine_Grid,0+$AB66,$AD66)=0,INDEX(Engine_Grid,0+$AB66,$AD66+1)=0),0,INDEX(Engine_Grid,0+$AB66,$AD66)*(1-$AE66)+INDEX(Engine_Grid,0+$AB66,$AD66+1)*$AE66)))*IF(N($D66)&lt;1,1,$D66))</f>
        <v>0</v>
      </c>
      <c r="AI66" s="39" t="n">
        <f aca="false">IF(N($F66)&lt;=0,0,$F66/100*IF(OR($AB66="",$AC66="",N($AC66)&lt;1,N($AC66)&gt;24),0,IF($AE66=0,INDEX(Engine_Grid,75+$AB66,$AD66),IF(OR($AD66&gt;=24,INDEX(Engine_Grid,75+$AB66,$AD66)=0,INDEX(Engine_Grid,75+$AB66,$AD66+1)=0),0,INDEX(Engine_Grid,75+$AB66,$AD66)*(1-$AE66)+INDEX(Engine_Grid,75+$AB66,$AD66+1)*$AE66)))*IF(N($D66)&lt;1,1,$D66))</f>
        <v>0</v>
      </c>
      <c r="AJ66" s="39" t="n">
        <f aca="false">IF(N($F66)&lt;=0,0,$F66/100*IF(OR($AB66="",$AC66="",N($AC66)&lt;1,N($AC66)&gt;24),0,IF($AE66=0,INDEX(Engine_Grid,150+$AB66,$AD66),IF(OR($AD66&gt;=24,INDEX(Engine_Grid,150+$AB66,$AD66)=0,INDEX(Engine_Grid,150+$AB66,$AD66+1)=0),0,INDEX(Engine_Grid,150+$AB66,$AD66)*(1-$AE66)+INDEX(Engine_Grid,150+$AB66,$AD66+1)*$AE66)))*IF(N($D66)&lt;1,1,$D66))</f>
        <v>0</v>
      </c>
      <c r="AK66" s="39" t="n">
        <f aca="false">IF(N($F66)&lt;=0,0,$F66/100*IF(OR($AB66="",$AC66="",N($AC66)&lt;1,N($AC66)&gt;24),0,IF($AE66=0,INDEX(Engine_Grid,225+$AB66,$AD66),IF(OR($AD66&gt;=24,INDEX(Engine_Grid,225+$AB66,$AD66)=0,INDEX(Engine_Grid,225+$AB66,$AD66+1)=0),0,INDEX(Engine_Grid,225+$AB66,$AD66)*(1-$AE66)+INDEX(Engine_Grid,225+$AB66,$AD66+1)*$AE66)))*IF(N($D66)&lt;1,1,$D66))</f>
        <v>0</v>
      </c>
    </row>
    <row r="67" customFormat="false" ht="15" hidden="false" customHeight="false" outlineLevel="0" collapsed="false">
      <c r="A67" s="31" t="n">
        <v>58</v>
      </c>
      <c r="B67" s="11"/>
      <c r="C67" s="11"/>
      <c r="D67" s="32"/>
      <c r="E67" s="33"/>
      <c r="F67" s="34"/>
      <c r="G67" s="35" t="str">
        <f aca="false">IF($AB67="","",IF(INDEX(Lib_Basis,$AB67)="Piece","pcs","cm"))</f>
        <v/>
      </c>
      <c r="H67" s="36" t="n">
        <f aca="false">IF(OR($AB67="",$AC67="",N($AC67)&lt;1,N($AC67)&gt;24),0,IF($AE67=0,INDEX(Engine_Grid,(WeightIdx-1)*75+$AB67,$AD67),IF(OR($AD67&gt;=24,INDEX(Engine_Grid,(WeightIdx-1)*75+$AB67,$AD67)=0,INDEX(Engine_Grid,(WeightIdx-1)*75+$AB67,$AD67+1)=0),0,INDEX(Engine_Grid,(WeightIdx-1)*75+$AB67,$AD67)*(1-$AE67)+INDEX(Engine_Grid,(WeightIdx-1)*75+$AB67,$AD67+1)*$AE67)))</f>
        <v>0</v>
      </c>
      <c r="I67" s="37" t="n">
        <f aca="false">IF(OR($H67=0,N($F67)&lt;=0),0,$F67/100*$H67*IF(N($D67)&lt;1,1,$D67))</f>
        <v>0</v>
      </c>
      <c r="J67" s="38" t="str">
        <f aca="false">IF($AB67="","",INDEX(Lib_Needle,$AB67))</f>
        <v/>
      </c>
      <c r="K67" s="38" t="str">
        <f aca="false">IF($AB67="","",INDEX(Lib_Bobbin,$AB67))</f>
        <v/>
      </c>
      <c r="L67" s="38" t="str">
        <f aca="false">IF($AB67="","",INDEX(Lib_Looper,$AB67))</f>
        <v/>
      </c>
      <c r="M67" s="38" t="str">
        <f aca="false">IF($AB67="","",INDEX(Lib_Cover,$AB67))</f>
        <v/>
      </c>
      <c r="N67" s="11"/>
      <c r="O67" s="39" t="n">
        <f aca="false">IF($I67=0,0,IF($AF67="Y",$I67*$J67/IF(N($D67)&lt;1,1,$D67),$I67*$J67))</f>
        <v>0</v>
      </c>
      <c r="P67" s="11"/>
      <c r="Q67" s="39" t="n">
        <f aca="false">IF(AND($I67&gt;0,$AF67="Y",IF(N($D67)&lt;1,1,$D67)&gt;=2),$I67*$J67/IF(N($D67)&lt;1,1,$D67),0)</f>
        <v>0</v>
      </c>
      <c r="R67" s="11"/>
      <c r="S67" s="39" t="n">
        <f aca="false">IF(AND($I67&gt;0,$AF67="Y",IF(N($D67)&lt;1,1,$D67)&gt;=3),$I67*$J67/IF(N($D67)&lt;1,1,$D67),0)</f>
        <v>0</v>
      </c>
      <c r="T67" s="11"/>
      <c r="U67" s="39" t="n">
        <f aca="false">IF($I67=0,0,$I67*$K67)</f>
        <v>0</v>
      </c>
      <c r="V67" s="11"/>
      <c r="W67" s="39" t="n">
        <f aca="false">IF($I67=0,0,$I67*$L67)</f>
        <v>0</v>
      </c>
      <c r="X67" s="11"/>
      <c r="Y67" s="39" t="n">
        <f aca="false">IF($I67=0,0,$I67*$M67)</f>
        <v>0</v>
      </c>
      <c r="Z67" s="39" t="n">
        <f aca="false">IF($N67="",$O67,0)+IF($P67="",$Q67,0)+IF($R67="",$S67,0)+IF($T67="",$U67,0)+IF($V67="",$W67,0)+IF($X67="",$Y67,0)+IF(AND($AF67="Y",IF(N($D67)&lt;1,1,$D67)&gt;3),$I67*$J67*(IF(N($D67)&lt;1,1,$D67)-3)/IF(N($D67)&lt;1,1,$D67),0)</f>
        <v>0</v>
      </c>
      <c r="AA67" s="40" t="str">
        <f aca="false">IF(AND($C67="",N($F67)=0),"",IF($C67="","⚠ Select a stitch type",IF($AB67="","⚠ Stitch not in library",IF(N($F67)&lt;=0,"⚠ Enter "&amp;IF($G67="pcs","quantity","seam length (cm)"),IF(AND($G67="cm",N($E67)&lt;=0),"⚠ Enter SPI",IF($H67=0,"⚠ No factor at SPI "&amp;$E67&amp;" – valid "&amp;INDEX(Lib_MinSPI,$AB67)&amp;"–"&amp;INDEX(Lib_MaxSPI,$AB67),IF(AND($AF67="Y",IF(N($D67)&lt;1,1,$D67)&gt;3),"⚠ More than 3 rows – thread for extra rows not allocated",IF($Z67&gt;0.00001,"⚠ Assign threads ("&amp;TEXT($Z67,"0.00")&amp;" m unassigned)","✔ OK"))))))))</f>
        <v/>
      </c>
      <c r="AB67" s="16" t="str">
        <f aca="false">IF($C67="","",IFERROR(MATCH($C67,Lib_Names,0),""))</f>
        <v/>
      </c>
      <c r="AC67" s="41" t="str">
        <f aca="false">IF($AB67="","",IF(INDEX(Lib_Basis,$AB67)="Piece",1,N($E67)))</f>
        <v/>
      </c>
      <c r="AD67" s="16" t="str">
        <f aca="false">IF($AC67="","",INT($AC67))</f>
        <v/>
      </c>
      <c r="AE67" s="17" t="str">
        <f aca="false">IF($AC67="","",$AC67-$AD67)</f>
        <v/>
      </c>
      <c r="AF67" s="35" t="str">
        <f aca="false">IF($AB67="","",INDEX(Lib_Multi,$AB67))</f>
        <v/>
      </c>
      <c r="AG67" s="42" t="str">
        <f aca="false">IF($AB67="","",INDEX(Lib_Cat,$AB67))</f>
        <v/>
      </c>
      <c r="AH67" s="39" t="n">
        <f aca="false">IF(N($F67)&lt;=0,0,$F67/100*IF(OR($AB67="",$AC67="",N($AC67)&lt;1,N($AC67)&gt;24),0,IF($AE67=0,INDEX(Engine_Grid,0+$AB67,$AD67),IF(OR($AD67&gt;=24,INDEX(Engine_Grid,0+$AB67,$AD67)=0,INDEX(Engine_Grid,0+$AB67,$AD67+1)=0),0,INDEX(Engine_Grid,0+$AB67,$AD67)*(1-$AE67)+INDEX(Engine_Grid,0+$AB67,$AD67+1)*$AE67)))*IF(N($D67)&lt;1,1,$D67))</f>
        <v>0</v>
      </c>
      <c r="AI67" s="39" t="n">
        <f aca="false">IF(N($F67)&lt;=0,0,$F67/100*IF(OR($AB67="",$AC67="",N($AC67)&lt;1,N($AC67)&gt;24),0,IF($AE67=0,INDEX(Engine_Grid,75+$AB67,$AD67),IF(OR($AD67&gt;=24,INDEX(Engine_Grid,75+$AB67,$AD67)=0,INDEX(Engine_Grid,75+$AB67,$AD67+1)=0),0,INDEX(Engine_Grid,75+$AB67,$AD67)*(1-$AE67)+INDEX(Engine_Grid,75+$AB67,$AD67+1)*$AE67)))*IF(N($D67)&lt;1,1,$D67))</f>
        <v>0</v>
      </c>
      <c r="AJ67" s="39" t="n">
        <f aca="false">IF(N($F67)&lt;=0,0,$F67/100*IF(OR($AB67="",$AC67="",N($AC67)&lt;1,N($AC67)&gt;24),0,IF($AE67=0,INDEX(Engine_Grid,150+$AB67,$AD67),IF(OR($AD67&gt;=24,INDEX(Engine_Grid,150+$AB67,$AD67)=0,INDEX(Engine_Grid,150+$AB67,$AD67+1)=0),0,INDEX(Engine_Grid,150+$AB67,$AD67)*(1-$AE67)+INDEX(Engine_Grid,150+$AB67,$AD67+1)*$AE67)))*IF(N($D67)&lt;1,1,$D67))</f>
        <v>0</v>
      </c>
      <c r="AK67" s="39" t="n">
        <f aca="false">IF(N($F67)&lt;=0,0,$F67/100*IF(OR($AB67="",$AC67="",N($AC67)&lt;1,N($AC67)&gt;24),0,IF($AE67=0,INDEX(Engine_Grid,225+$AB67,$AD67),IF(OR($AD67&gt;=24,INDEX(Engine_Grid,225+$AB67,$AD67)=0,INDEX(Engine_Grid,225+$AB67,$AD67+1)=0),0,INDEX(Engine_Grid,225+$AB67,$AD67)*(1-$AE67)+INDEX(Engine_Grid,225+$AB67,$AD67+1)*$AE67)))*IF(N($D67)&lt;1,1,$D67))</f>
        <v>0</v>
      </c>
    </row>
    <row r="68" customFormat="false" ht="15" hidden="false" customHeight="false" outlineLevel="0" collapsed="false">
      <c r="A68" s="31" t="n">
        <v>59</v>
      </c>
      <c r="B68" s="11"/>
      <c r="C68" s="11"/>
      <c r="D68" s="32"/>
      <c r="E68" s="33"/>
      <c r="F68" s="34"/>
      <c r="G68" s="35" t="str">
        <f aca="false">IF($AB68="","",IF(INDEX(Lib_Basis,$AB68)="Piece","pcs","cm"))</f>
        <v/>
      </c>
      <c r="H68" s="36" t="n">
        <f aca="false">IF(OR($AB68="",$AC68="",N($AC68)&lt;1,N($AC68)&gt;24),0,IF($AE68=0,INDEX(Engine_Grid,(WeightIdx-1)*75+$AB68,$AD68),IF(OR($AD68&gt;=24,INDEX(Engine_Grid,(WeightIdx-1)*75+$AB68,$AD68)=0,INDEX(Engine_Grid,(WeightIdx-1)*75+$AB68,$AD68+1)=0),0,INDEX(Engine_Grid,(WeightIdx-1)*75+$AB68,$AD68)*(1-$AE68)+INDEX(Engine_Grid,(WeightIdx-1)*75+$AB68,$AD68+1)*$AE68)))</f>
        <v>0</v>
      </c>
      <c r="I68" s="37" t="n">
        <f aca="false">IF(OR($H68=0,N($F68)&lt;=0),0,$F68/100*$H68*IF(N($D68)&lt;1,1,$D68))</f>
        <v>0</v>
      </c>
      <c r="J68" s="38" t="str">
        <f aca="false">IF($AB68="","",INDEX(Lib_Needle,$AB68))</f>
        <v/>
      </c>
      <c r="K68" s="38" t="str">
        <f aca="false">IF($AB68="","",INDEX(Lib_Bobbin,$AB68))</f>
        <v/>
      </c>
      <c r="L68" s="38" t="str">
        <f aca="false">IF($AB68="","",INDEX(Lib_Looper,$AB68))</f>
        <v/>
      </c>
      <c r="M68" s="38" t="str">
        <f aca="false">IF($AB68="","",INDEX(Lib_Cover,$AB68))</f>
        <v/>
      </c>
      <c r="N68" s="11"/>
      <c r="O68" s="39" t="n">
        <f aca="false">IF($I68=0,0,IF($AF68="Y",$I68*$J68/IF(N($D68)&lt;1,1,$D68),$I68*$J68))</f>
        <v>0</v>
      </c>
      <c r="P68" s="11"/>
      <c r="Q68" s="39" t="n">
        <f aca="false">IF(AND($I68&gt;0,$AF68="Y",IF(N($D68)&lt;1,1,$D68)&gt;=2),$I68*$J68/IF(N($D68)&lt;1,1,$D68),0)</f>
        <v>0</v>
      </c>
      <c r="R68" s="11"/>
      <c r="S68" s="39" t="n">
        <f aca="false">IF(AND($I68&gt;0,$AF68="Y",IF(N($D68)&lt;1,1,$D68)&gt;=3),$I68*$J68/IF(N($D68)&lt;1,1,$D68),0)</f>
        <v>0</v>
      </c>
      <c r="T68" s="11"/>
      <c r="U68" s="39" t="n">
        <f aca="false">IF($I68=0,0,$I68*$K68)</f>
        <v>0</v>
      </c>
      <c r="V68" s="11"/>
      <c r="W68" s="39" t="n">
        <f aca="false">IF($I68=0,0,$I68*$L68)</f>
        <v>0</v>
      </c>
      <c r="X68" s="11"/>
      <c r="Y68" s="39" t="n">
        <f aca="false">IF($I68=0,0,$I68*$M68)</f>
        <v>0</v>
      </c>
      <c r="Z68" s="39" t="n">
        <f aca="false">IF($N68="",$O68,0)+IF($P68="",$Q68,0)+IF($R68="",$S68,0)+IF($T68="",$U68,0)+IF($V68="",$W68,0)+IF($X68="",$Y68,0)+IF(AND($AF68="Y",IF(N($D68)&lt;1,1,$D68)&gt;3),$I68*$J68*(IF(N($D68)&lt;1,1,$D68)-3)/IF(N($D68)&lt;1,1,$D68),0)</f>
        <v>0</v>
      </c>
      <c r="AA68" s="40" t="str">
        <f aca="false">IF(AND($C68="",N($F68)=0),"",IF($C68="","⚠ Select a stitch type",IF($AB68="","⚠ Stitch not in library",IF(N($F68)&lt;=0,"⚠ Enter "&amp;IF($G68="pcs","quantity","seam length (cm)"),IF(AND($G68="cm",N($E68)&lt;=0),"⚠ Enter SPI",IF($H68=0,"⚠ No factor at SPI "&amp;$E68&amp;" – valid "&amp;INDEX(Lib_MinSPI,$AB68)&amp;"–"&amp;INDEX(Lib_MaxSPI,$AB68),IF(AND($AF68="Y",IF(N($D68)&lt;1,1,$D68)&gt;3),"⚠ More than 3 rows – thread for extra rows not allocated",IF($Z68&gt;0.00001,"⚠ Assign threads ("&amp;TEXT($Z68,"0.00")&amp;" m unassigned)","✔ OK"))))))))</f>
        <v/>
      </c>
      <c r="AB68" s="16" t="str">
        <f aca="false">IF($C68="","",IFERROR(MATCH($C68,Lib_Names,0),""))</f>
        <v/>
      </c>
      <c r="AC68" s="41" t="str">
        <f aca="false">IF($AB68="","",IF(INDEX(Lib_Basis,$AB68)="Piece",1,N($E68)))</f>
        <v/>
      </c>
      <c r="AD68" s="16" t="str">
        <f aca="false">IF($AC68="","",INT($AC68))</f>
        <v/>
      </c>
      <c r="AE68" s="17" t="str">
        <f aca="false">IF($AC68="","",$AC68-$AD68)</f>
        <v/>
      </c>
      <c r="AF68" s="35" t="str">
        <f aca="false">IF($AB68="","",INDEX(Lib_Multi,$AB68))</f>
        <v/>
      </c>
      <c r="AG68" s="42" t="str">
        <f aca="false">IF($AB68="","",INDEX(Lib_Cat,$AB68))</f>
        <v/>
      </c>
      <c r="AH68" s="39" t="n">
        <f aca="false">IF(N($F68)&lt;=0,0,$F68/100*IF(OR($AB68="",$AC68="",N($AC68)&lt;1,N($AC68)&gt;24),0,IF($AE68=0,INDEX(Engine_Grid,0+$AB68,$AD68),IF(OR($AD68&gt;=24,INDEX(Engine_Grid,0+$AB68,$AD68)=0,INDEX(Engine_Grid,0+$AB68,$AD68+1)=0),0,INDEX(Engine_Grid,0+$AB68,$AD68)*(1-$AE68)+INDEX(Engine_Grid,0+$AB68,$AD68+1)*$AE68)))*IF(N($D68)&lt;1,1,$D68))</f>
        <v>0</v>
      </c>
      <c r="AI68" s="39" t="n">
        <f aca="false">IF(N($F68)&lt;=0,0,$F68/100*IF(OR($AB68="",$AC68="",N($AC68)&lt;1,N($AC68)&gt;24),0,IF($AE68=0,INDEX(Engine_Grid,75+$AB68,$AD68),IF(OR($AD68&gt;=24,INDEX(Engine_Grid,75+$AB68,$AD68)=0,INDEX(Engine_Grid,75+$AB68,$AD68+1)=0),0,INDEX(Engine_Grid,75+$AB68,$AD68)*(1-$AE68)+INDEX(Engine_Grid,75+$AB68,$AD68+1)*$AE68)))*IF(N($D68)&lt;1,1,$D68))</f>
        <v>0</v>
      </c>
      <c r="AJ68" s="39" t="n">
        <f aca="false">IF(N($F68)&lt;=0,0,$F68/100*IF(OR($AB68="",$AC68="",N($AC68)&lt;1,N($AC68)&gt;24),0,IF($AE68=0,INDEX(Engine_Grid,150+$AB68,$AD68),IF(OR($AD68&gt;=24,INDEX(Engine_Grid,150+$AB68,$AD68)=0,INDEX(Engine_Grid,150+$AB68,$AD68+1)=0),0,INDEX(Engine_Grid,150+$AB68,$AD68)*(1-$AE68)+INDEX(Engine_Grid,150+$AB68,$AD68+1)*$AE68)))*IF(N($D68)&lt;1,1,$D68))</f>
        <v>0</v>
      </c>
      <c r="AK68" s="39" t="n">
        <f aca="false">IF(N($F68)&lt;=0,0,$F68/100*IF(OR($AB68="",$AC68="",N($AC68)&lt;1,N($AC68)&gt;24),0,IF($AE68=0,INDEX(Engine_Grid,225+$AB68,$AD68),IF(OR($AD68&gt;=24,INDEX(Engine_Grid,225+$AB68,$AD68)=0,INDEX(Engine_Grid,225+$AB68,$AD68+1)=0),0,INDEX(Engine_Grid,225+$AB68,$AD68)*(1-$AE68)+INDEX(Engine_Grid,225+$AB68,$AD68+1)*$AE68)))*IF(N($D68)&lt;1,1,$D68))</f>
        <v>0</v>
      </c>
    </row>
    <row r="69" customFormat="false" ht="15" hidden="false" customHeight="false" outlineLevel="0" collapsed="false">
      <c r="A69" s="31" t="n">
        <v>60</v>
      </c>
      <c r="B69" s="11"/>
      <c r="C69" s="11"/>
      <c r="D69" s="32"/>
      <c r="E69" s="33"/>
      <c r="F69" s="34"/>
      <c r="G69" s="35" t="str">
        <f aca="false">IF($AB69="","",IF(INDEX(Lib_Basis,$AB69)="Piece","pcs","cm"))</f>
        <v/>
      </c>
      <c r="H69" s="36" t="n">
        <f aca="false">IF(OR($AB69="",$AC69="",N($AC69)&lt;1,N($AC69)&gt;24),0,IF($AE69=0,INDEX(Engine_Grid,(WeightIdx-1)*75+$AB69,$AD69),IF(OR($AD69&gt;=24,INDEX(Engine_Grid,(WeightIdx-1)*75+$AB69,$AD69)=0,INDEX(Engine_Grid,(WeightIdx-1)*75+$AB69,$AD69+1)=0),0,INDEX(Engine_Grid,(WeightIdx-1)*75+$AB69,$AD69)*(1-$AE69)+INDEX(Engine_Grid,(WeightIdx-1)*75+$AB69,$AD69+1)*$AE69)))</f>
        <v>0</v>
      </c>
      <c r="I69" s="37" t="n">
        <f aca="false">IF(OR($H69=0,N($F69)&lt;=0),0,$F69/100*$H69*IF(N($D69)&lt;1,1,$D69))</f>
        <v>0</v>
      </c>
      <c r="J69" s="38" t="str">
        <f aca="false">IF($AB69="","",INDEX(Lib_Needle,$AB69))</f>
        <v/>
      </c>
      <c r="K69" s="38" t="str">
        <f aca="false">IF($AB69="","",INDEX(Lib_Bobbin,$AB69))</f>
        <v/>
      </c>
      <c r="L69" s="38" t="str">
        <f aca="false">IF($AB69="","",INDEX(Lib_Looper,$AB69))</f>
        <v/>
      </c>
      <c r="M69" s="38" t="str">
        <f aca="false">IF($AB69="","",INDEX(Lib_Cover,$AB69))</f>
        <v/>
      </c>
      <c r="N69" s="11"/>
      <c r="O69" s="39" t="n">
        <f aca="false">IF($I69=0,0,IF($AF69="Y",$I69*$J69/IF(N($D69)&lt;1,1,$D69),$I69*$J69))</f>
        <v>0</v>
      </c>
      <c r="P69" s="11"/>
      <c r="Q69" s="39" t="n">
        <f aca="false">IF(AND($I69&gt;0,$AF69="Y",IF(N($D69)&lt;1,1,$D69)&gt;=2),$I69*$J69/IF(N($D69)&lt;1,1,$D69),0)</f>
        <v>0</v>
      </c>
      <c r="R69" s="11"/>
      <c r="S69" s="39" t="n">
        <f aca="false">IF(AND($I69&gt;0,$AF69="Y",IF(N($D69)&lt;1,1,$D69)&gt;=3),$I69*$J69/IF(N($D69)&lt;1,1,$D69),0)</f>
        <v>0</v>
      </c>
      <c r="T69" s="11"/>
      <c r="U69" s="39" t="n">
        <f aca="false">IF($I69=0,0,$I69*$K69)</f>
        <v>0</v>
      </c>
      <c r="V69" s="11"/>
      <c r="W69" s="39" t="n">
        <f aca="false">IF($I69=0,0,$I69*$L69)</f>
        <v>0</v>
      </c>
      <c r="X69" s="11"/>
      <c r="Y69" s="39" t="n">
        <f aca="false">IF($I69=0,0,$I69*$M69)</f>
        <v>0</v>
      </c>
      <c r="Z69" s="39" t="n">
        <f aca="false">IF($N69="",$O69,0)+IF($P69="",$Q69,0)+IF($R69="",$S69,0)+IF($T69="",$U69,0)+IF($V69="",$W69,0)+IF($X69="",$Y69,0)+IF(AND($AF69="Y",IF(N($D69)&lt;1,1,$D69)&gt;3),$I69*$J69*(IF(N($D69)&lt;1,1,$D69)-3)/IF(N($D69)&lt;1,1,$D69),0)</f>
        <v>0</v>
      </c>
      <c r="AA69" s="40" t="str">
        <f aca="false">IF(AND($C69="",N($F69)=0),"",IF($C69="","⚠ Select a stitch type",IF($AB69="","⚠ Stitch not in library",IF(N($F69)&lt;=0,"⚠ Enter "&amp;IF($G69="pcs","quantity","seam length (cm)"),IF(AND($G69="cm",N($E69)&lt;=0),"⚠ Enter SPI",IF($H69=0,"⚠ No factor at SPI "&amp;$E69&amp;" – valid "&amp;INDEX(Lib_MinSPI,$AB69)&amp;"–"&amp;INDEX(Lib_MaxSPI,$AB69),IF(AND($AF69="Y",IF(N($D69)&lt;1,1,$D69)&gt;3),"⚠ More than 3 rows – thread for extra rows not allocated",IF($Z69&gt;0.00001,"⚠ Assign threads ("&amp;TEXT($Z69,"0.00")&amp;" m unassigned)","✔ OK"))))))))</f>
        <v/>
      </c>
      <c r="AB69" s="16" t="str">
        <f aca="false">IF($C69="","",IFERROR(MATCH($C69,Lib_Names,0),""))</f>
        <v/>
      </c>
      <c r="AC69" s="41" t="str">
        <f aca="false">IF($AB69="","",IF(INDEX(Lib_Basis,$AB69)="Piece",1,N($E69)))</f>
        <v/>
      </c>
      <c r="AD69" s="16" t="str">
        <f aca="false">IF($AC69="","",INT($AC69))</f>
        <v/>
      </c>
      <c r="AE69" s="17" t="str">
        <f aca="false">IF($AC69="","",$AC69-$AD69)</f>
        <v/>
      </c>
      <c r="AF69" s="35" t="str">
        <f aca="false">IF($AB69="","",INDEX(Lib_Multi,$AB69))</f>
        <v/>
      </c>
      <c r="AG69" s="42" t="str">
        <f aca="false">IF($AB69="","",INDEX(Lib_Cat,$AB69))</f>
        <v/>
      </c>
      <c r="AH69" s="39" t="n">
        <f aca="false">IF(N($F69)&lt;=0,0,$F69/100*IF(OR($AB69="",$AC69="",N($AC69)&lt;1,N($AC69)&gt;24),0,IF($AE69=0,INDEX(Engine_Grid,0+$AB69,$AD69),IF(OR($AD69&gt;=24,INDEX(Engine_Grid,0+$AB69,$AD69)=0,INDEX(Engine_Grid,0+$AB69,$AD69+1)=0),0,INDEX(Engine_Grid,0+$AB69,$AD69)*(1-$AE69)+INDEX(Engine_Grid,0+$AB69,$AD69+1)*$AE69)))*IF(N($D69)&lt;1,1,$D69))</f>
        <v>0</v>
      </c>
      <c r="AI69" s="39" t="n">
        <f aca="false">IF(N($F69)&lt;=0,0,$F69/100*IF(OR($AB69="",$AC69="",N($AC69)&lt;1,N($AC69)&gt;24),0,IF($AE69=0,INDEX(Engine_Grid,75+$AB69,$AD69),IF(OR($AD69&gt;=24,INDEX(Engine_Grid,75+$AB69,$AD69)=0,INDEX(Engine_Grid,75+$AB69,$AD69+1)=0),0,INDEX(Engine_Grid,75+$AB69,$AD69)*(1-$AE69)+INDEX(Engine_Grid,75+$AB69,$AD69+1)*$AE69)))*IF(N($D69)&lt;1,1,$D69))</f>
        <v>0</v>
      </c>
      <c r="AJ69" s="39" t="n">
        <f aca="false">IF(N($F69)&lt;=0,0,$F69/100*IF(OR($AB69="",$AC69="",N($AC69)&lt;1,N($AC69)&gt;24),0,IF($AE69=0,INDEX(Engine_Grid,150+$AB69,$AD69),IF(OR($AD69&gt;=24,INDEX(Engine_Grid,150+$AB69,$AD69)=0,INDEX(Engine_Grid,150+$AB69,$AD69+1)=0),0,INDEX(Engine_Grid,150+$AB69,$AD69)*(1-$AE69)+INDEX(Engine_Grid,150+$AB69,$AD69+1)*$AE69)))*IF(N($D69)&lt;1,1,$D69))</f>
        <v>0</v>
      </c>
      <c r="AK69" s="39" t="n">
        <f aca="false">IF(N($F69)&lt;=0,0,$F69/100*IF(OR($AB69="",$AC69="",N($AC69)&lt;1,N($AC69)&gt;24),0,IF($AE69=0,INDEX(Engine_Grid,225+$AB69,$AD69),IF(OR($AD69&gt;=24,INDEX(Engine_Grid,225+$AB69,$AD69)=0,INDEX(Engine_Grid,225+$AB69,$AD69+1)=0),0,INDEX(Engine_Grid,225+$AB69,$AD69)*(1-$AE69)+INDEX(Engine_Grid,225+$AB69,$AD69+1)*$AE69)))*IF(N($D69)&lt;1,1,$D69))</f>
        <v>0</v>
      </c>
    </row>
    <row r="70" customFormat="false" ht="15" hidden="false" customHeight="false" outlineLevel="0" collapsed="false">
      <c r="A70" s="31" t="n">
        <v>61</v>
      </c>
      <c r="B70" s="11"/>
      <c r="C70" s="11"/>
      <c r="D70" s="32"/>
      <c r="E70" s="33"/>
      <c r="F70" s="34"/>
      <c r="G70" s="35" t="str">
        <f aca="false">IF($AB70="","",IF(INDEX(Lib_Basis,$AB70)="Piece","pcs","cm"))</f>
        <v/>
      </c>
      <c r="H70" s="36" t="n">
        <f aca="false">IF(OR($AB70="",$AC70="",N($AC70)&lt;1,N($AC70)&gt;24),0,IF($AE70=0,INDEX(Engine_Grid,(WeightIdx-1)*75+$AB70,$AD70),IF(OR($AD70&gt;=24,INDEX(Engine_Grid,(WeightIdx-1)*75+$AB70,$AD70)=0,INDEX(Engine_Grid,(WeightIdx-1)*75+$AB70,$AD70+1)=0),0,INDEX(Engine_Grid,(WeightIdx-1)*75+$AB70,$AD70)*(1-$AE70)+INDEX(Engine_Grid,(WeightIdx-1)*75+$AB70,$AD70+1)*$AE70)))</f>
        <v>0</v>
      </c>
      <c r="I70" s="37" t="n">
        <f aca="false">IF(OR($H70=0,N($F70)&lt;=0),0,$F70/100*$H70*IF(N($D70)&lt;1,1,$D70))</f>
        <v>0</v>
      </c>
      <c r="J70" s="38" t="str">
        <f aca="false">IF($AB70="","",INDEX(Lib_Needle,$AB70))</f>
        <v/>
      </c>
      <c r="K70" s="38" t="str">
        <f aca="false">IF($AB70="","",INDEX(Lib_Bobbin,$AB70))</f>
        <v/>
      </c>
      <c r="L70" s="38" t="str">
        <f aca="false">IF($AB70="","",INDEX(Lib_Looper,$AB70))</f>
        <v/>
      </c>
      <c r="M70" s="38" t="str">
        <f aca="false">IF($AB70="","",INDEX(Lib_Cover,$AB70))</f>
        <v/>
      </c>
      <c r="N70" s="11"/>
      <c r="O70" s="39" t="n">
        <f aca="false">IF($I70=0,0,IF($AF70="Y",$I70*$J70/IF(N($D70)&lt;1,1,$D70),$I70*$J70))</f>
        <v>0</v>
      </c>
      <c r="P70" s="11"/>
      <c r="Q70" s="39" t="n">
        <f aca="false">IF(AND($I70&gt;0,$AF70="Y",IF(N($D70)&lt;1,1,$D70)&gt;=2),$I70*$J70/IF(N($D70)&lt;1,1,$D70),0)</f>
        <v>0</v>
      </c>
      <c r="R70" s="11"/>
      <c r="S70" s="39" t="n">
        <f aca="false">IF(AND($I70&gt;0,$AF70="Y",IF(N($D70)&lt;1,1,$D70)&gt;=3),$I70*$J70/IF(N($D70)&lt;1,1,$D70),0)</f>
        <v>0</v>
      </c>
      <c r="T70" s="11"/>
      <c r="U70" s="39" t="n">
        <f aca="false">IF($I70=0,0,$I70*$K70)</f>
        <v>0</v>
      </c>
      <c r="V70" s="11"/>
      <c r="W70" s="39" t="n">
        <f aca="false">IF($I70=0,0,$I70*$L70)</f>
        <v>0</v>
      </c>
      <c r="X70" s="11"/>
      <c r="Y70" s="39" t="n">
        <f aca="false">IF($I70=0,0,$I70*$M70)</f>
        <v>0</v>
      </c>
      <c r="Z70" s="39" t="n">
        <f aca="false">IF($N70="",$O70,0)+IF($P70="",$Q70,0)+IF($R70="",$S70,0)+IF($T70="",$U70,0)+IF($V70="",$W70,0)+IF($X70="",$Y70,0)+IF(AND($AF70="Y",IF(N($D70)&lt;1,1,$D70)&gt;3),$I70*$J70*(IF(N($D70)&lt;1,1,$D70)-3)/IF(N($D70)&lt;1,1,$D70),0)</f>
        <v>0</v>
      </c>
      <c r="AA70" s="40" t="str">
        <f aca="false">IF(AND($C70="",N($F70)=0),"",IF($C70="","⚠ Select a stitch type",IF($AB70="","⚠ Stitch not in library",IF(N($F70)&lt;=0,"⚠ Enter "&amp;IF($G70="pcs","quantity","seam length (cm)"),IF(AND($G70="cm",N($E70)&lt;=0),"⚠ Enter SPI",IF($H70=0,"⚠ No factor at SPI "&amp;$E70&amp;" – valid "&amp;INDEX(Lib_MinSPI,$AB70)&amp;"–"&amp;INDEX(Lib_MaxSPI,$AB70),IF(AND($AF70="Y",IF(N($D70)&lt;1,1,$D70)&gt;3),"⚠ More than 3 rows – thread for extra rows not allocated",IF($Z70&gt;0.00001,"⚠ Assign threads ("&amp;TEXT($Z70,"0.00")&amp;" m unassigned)","✔ OK"))))))))</f>
        <v/>
      </c>
      <c r="AB70" s="16" t="str">
        <f aca="false">IF($C70="","",IFERROR(MATCH($C70,Lib_Names,0),""))</f>
        <v/>
      </c>
      <c r="AC70" s="41" t="str">
        <f aca="false">IF($AB70="","",IF(INDEX(Lib_Basis,$AB70)="Piece",1,N($E70)))</f>
        <v/>
      </c>
      <c r="AD70" s="16" t="str">
        <f aca="false">IF($AC70="","",INT($AC70))</f>
        <v/>
      </c>
      <c r="AE70" s="17" t="str">
        <f aca="false">IF($AC70="","",$AC70-$AD70)</f>
        <v/>
      </c>
      <c r="AF70" s="35" t="str">
        <f aca="false">IF($AB70="","",INDEX(Lib_Multi,$AB70))</f>
        <v/>
      </c>
      <c r="AG70" s="42" t="str">
        <f aca="false">IF($AB70="","",INDEX(Lib_Cat,$AB70))</f>
        <v/>
      </c>
      <c r="AH70" s="39" t="n">
        <f aca="false">IF(N($F70)&lt;=0,0,$F70/100*IF(OR($AB70="",$AC70="",N($AC70)&lt;1,N($AC70)&gt;24),0,IF($AE70=0,INDEX(Engine_Grid,0+$AB70,$AD70),IF(OR($AD70&gt;=24,INDEX(Engine_Grid,0+$AB70,$AD70)=0,INDEX(Engine_Grid,0+$AB70,$AD70+1)=0),0,INDEX(Engine_Grid,0+$AB70,$AD70)*(1-$AE70)+INDEX(Engine_Grid,0+$AB70,$AD70+1)*$AE70)))*IF(N($D70)&lt;1,1,$D70))</f>
        <v>0</v>
      </c>
      <c r="AI70" s="39" t="n">
        <f aca="false">IF(N($F70)&lt;=0,0,$F70/100*IF(OR($AB70="",$AC70="",N($AC70)&lt;1,N($AC70)&gt;24),0,IF($AE70=0,INDEX(Engine_Grid,75+$AB70,$AD70),IF(OR($AD70&gt;=24,INDEX(Engine_Grid,75+$AB70,$AD70)=0,INDEX(Engine_Grid,75+$AB70,$AD70+1)=0),0,INDEX(Engine_Grid,75+$AB70,$AD70)*(1-$AE70)+INDEX(Engine_Grid,75+$AB70,$AD70+1)*$AE70)))*IF(N($D70)&lt;1,1,$D70))</f>
        <v>0</v>
      </c>
      <c r="AJ70" s="39" t="n">
        <f aca="false">IF(N($F70)&lt;=0,0,$F70/100*IF(OR($AB70="",$AC70="",N($AC70)&lt;1,N($AC70)&gt;24),0,IF($AE70=0,INDEX(Engine_Grid,150+$AB70,$AD70),IF(OR($AD70&gt;=24,INDEX(Engine_Grid,150+$AB70,$AD70)=0,INDEX(Engine_Grid,150+$AB70,$AD70+1)=0),0,INDEX(Engine_Grid,150+$AB70,$AD70)*(1-$AE70)+INDEX(Engine_Grid,150+$AB70,$AD70+1)*$AE70)))*IF(N($D70)&lt;1,1,$D70))</f>
        <v>0</v>
      </c>
      <c r="AK70" s="39" t="n">
        <f aca="false">IF(N($F70)&lt;=0,0,$F70/100*IF(OR($AB70="",$AC70="",N($AC70)&lt;1,N($AC70)&gt;24),0,IF($AE70=0,INDEX(Engine_Grid,225+$AB70,$AD70),IF(OR($AD70&gt;=24,INDEX(Engine_Grid,225+$AB70,$AD70)=0,INDEX(Engine_Grid,225+$AB70,$AD70+1)=0),0,INDEX(Engine_Grid,225+$AB70,$AD70)*(1-$AE70)+INDEX(Engine_Grid,225+$AB70,$AD70+1)*$AE70)))*IF(N($D70)&lt;1,1,$D70))</f>
        <v>0</v>
      </c>
    </row>
    <row r="71" customFormat="false" ht="15" hidden="false" customHeight="false" outlineLevel="0" collapsed="false">
      <c r="A71" s="31" t="n">
        <v>62</v>
      </c>
      <c r="B71" s="11"/>
      <c r="C71" s="11"/>
      <c r="D71" s="32"/>
      <c r="E71" s="33"/>
      <c r="F71" s="34"/>
      <c r="G71" s="35" t="str">
        <f aca="false">IF($AB71="","",IF(INDEX(Lib_Basis,$AB71)="Piece","pcs","cm"))</f>
        <v/>
      </c>
      <c r="H71" s="36" t="n">
        <f aca="false">IF(OR($AB71="",$AC71="",N($AC71)&lt;1,N($AC71)&gt;24),0,IF($AE71=0,INDEX(Engine_Grid,(WeightIdx-1)*75+$AB71,$AD71),IF(OR($AD71&gt;=24,INDEX(Engine_Grid,(WeightIdx-1)*75+$AB71,$AD71)=0,INDEX(Engine_Grid,(WeightIdx-1)*75+$AB71,$AD71+1)=0),0,INDEX(Engine_Grid,(WeightIdx-1)*75+$AB71,$AD71)*(1-$AE71)+INDEX(Engine_Grid,(WeightIdx-1)*75+$AB71,$AD71+1)*$AE71)))</f>
        <v>0</v>
      </c>
      <c r="I71" s="37" t="n">
        <f aca="false">IF(OR($H71=0,N($F71)&lt;=0),0,$F71/100*$H71*IF(N($D71)&lt;1,1,$D71))</f>
        <v>0</v>
      </c>
      <c r="J71" s="38" t="str">
        <f aca="false">IF($AB71="","",INDEX(Lib_Needle,$AB71))</f>
        <v/>
      </c>
      <c r="K71" s="38" t="str">
        <f aca="false">IF($AB71="","",INDEX(Lib_Bobbin,$AB71))</f>
        <v/>
      </c>
      <c r="L71" s="38" t="str">
        <f aca="false">IF($AB71="","",INDEX(Lib_Looper,$AB71))</f>
        <v/>
      </c>
      <c r="M71" s="38" t="str">
        <f aca="false">IF($AB71="","",INDEX(Lib_Cover,$AB71))</f>
        <v/>
      </c>
      <c r="N71" s="11"/>
      <c r="O71" s="39" t="n">
        <f aca="false">IF($I71=0,0,IF($AF71="Y",$I71*$J71/IF(N($D71)&lt;1,1,$D71),$I71*$J71))</f>
        <v>0</v>
      </c>
      <c r="P71" s="11"/>
      <c r="Q71" s="39" t="n">
        <f aca="false">IF(AND($I71&gt;0,$AF71="Y",IF(N($D71)&lt;1,1,$D71)&gt;=2),$I71*$J71/IF(N($D71)&lt;1,1,$D71),0)</f>
        <v>0</v>
      </c>
      <c r="R71" s="11"/>
      <c r="S71" s="39" t="n">
        <f aca="false">IF(AND($I71&gt;0,$AF71="Y",IF(N($D71)&lt;1,1,$D71)&gt;=3),$I71*$J71/IF(N($D71)&lt;1,1,$D71),0)</f>
        <v>0</v>
      </c>
      <c r="T71" s="11"/>
      <c r="U71" s="39" t="n">
        <f aca="false">IF($I71=0,0,$I71*$K71)</f>
        <v>0</v>
      </c>
      <c r="V71" s="11"/>
      <c r="W71" s="39" t="n">
        <f aca="false">IF($I71=0,0,$I71*$L71)</f>
        <v>0</v>
      </c>
      <c r="X71" s="11"/>
      <c r="Y71" s="39" t="n">
        <f aca="false">IF($I71=0,0,$I71*$M71)</f>
        <v>0</v>
      </c>
      <c r="Z71" s="39" t="n">
        <f aca="false">IF($N71="",$O71,0)+IF($P71="",$Q71,0)+IF($R71="",$S71,0)+IF($T71="",$U71,0)+IF($V71="",$W71,0)+IF($X71="",$Y71,0)+IF(AND($AF71="Y",IF(N($D71)&lt;1,1,$D71)&gt;3),$I71*$J71*(IF(N($D71)&lt;1,1,$D71)-3)/IF(N($D71)&lt;1,1,$D71),0)</f>
        <v>0</v>
      </c>
      <c r="AA71" s="40" t="str">
        <f aca="false">IF(AND($C71="",N($F71)=0),"",IF($C71="","⚠ Select a stitch type",IF($AB71="","⚠ Stitch not in library",IF(N($F71)&lt;=0,"⚠ Enter "&amp;IF($G71="pcs","quantity","seam length (cm)"),IF(AND($G71="cm",N($E71)&lt;=0),"⚠ Enter SPI",IF($H71=0,"⚠ No factor at SPI "&amp;$E71&amp;" – valid "&amp;INDEX(Lib_MinSPI,$AB71)&amp;"–"&amp;INDEX(Lib_MaxSPI,$AB71),IF(AND($AF71="Y",IF(N($D71)&lt;1,1,$D71)&gt;3),"⚠ More than 3 rows – thread for extra rows not allocated",IF($Z71&gt;0.00001,"⚠ Assign threads ("&amp;TEXT($Z71,"0.00")&amp;" m unassigned)","✔ OK"))))))))</f>
        <v/>
      </c>
      <c r="AB71" s="16" t="str">
        <f aca="false">IF($C71="","",IFERROR(MATCH($C71,Lib_Names,0),""))</f>
        <v/>
      </c>
      <c r="AC71" s="41" t="str">
        <f aca="false">IF($AB71="","",IF(INDEX(Lib_Basis,$AB71)="Piece",1,N($E71)))</f>
        <v/>
      </c>
      <c r="AD71" s="16" t="str">
        <f aca="false">IF($AC71="","",INT($AC71))</f>
        <v/>
      </c>
      <c r="AE71" s="17" t="str">
        <f aca="false">IF($AC71="","",$AC71-$AD71)</f>
        <v/>
      </c>
      <c r="AF71" s="35" t="str">
        <f aca="false">IF($AB71="","",INDEX(Lib_Multi,$AB71))</f>
        <v/>
      </c>
      <c r="AG71" s="42" t="str">
        <f aca="false">IF($AB71="","",INDEX(Lib_Cat,$AB71))</f>
        <v/>
      </c>
      <c r="AH71" s="39" t="n">
        <f aca="false">IF(N($F71)&lt;=0,0,$F71/100*IF(OR($AB71="",$AC71="",N($AC71)&lt;1,N($AC71)&gt;24),0,IF($AE71=0,INDEX(Engine_Grid,0+$AB71,$AD71),IF(OR($AD71&gt;=24,INDEX(Engine_Grid,0+$AB71,$AD71)=0,INDEX(Engine_Grid,0+$AB71,$AD71+1)=0),0,INDEX(Engine_Grid,0+$AB71,$AD71)*(1-$AE71)+INDEX(Engine_Grid,0+$AB71,$AD71+1)*$AE71)))*IF(N($D71)&lt;1,1,$D71))</f>
        <v>0</v>
      </c>
      <c r="AI71" s="39" t="n">
        <f aca="false">IF(N($F71)&lt;=0,0,$F71/100*IF(OR($AB71="",$AC71="",N($AC71)&lt;1,N($AC71)&gt;24),0,IF($AE71=0,INDEX(Engine_Grid,75+$AB71,$AD71),IF(OR($AD71&gt;=24,INDEX(Engine_Grid,75+$AB71,$AD71)=0,INDEX(Engine_Grid,75+$AB71,$AD71+1)=0),0,INDEX(Engine_Grid,75+$AB71,$AD71)*(1-$AE71)+INDEX(Engine_Grid,75+$AB71,$AD71+1)*$AE71)))*IF(N($D71)&lt;1,1,$D71))</f>
        <v>0</v>
      </c>
      <c r="AJ71" s="39" t="n">
        <f aca="false">IF(N($F71)&lt;=0,0,$F71/100*IF(OR($AB71="",$AC71="",N($AC71)&lt;1,N($AC71)&gt;24),0,IF($AE71=0,INDEX(Engine_Grid,150+$AB71,$AD71),IF(OR($AD71&gt;=24,INDEX(Engine_Grid,150+$AB71,$AD71)=0,INDEX(Engine_Grid,150+$AB71,$AD71+1)=0),0,INDEX(Engine_Grid,150+$AB71,$AD71)*(1-$AE71)+INDEX(Engine_Grid,150+$AB71,$AD71+1)*$AE71)))*IF(N($D71)&lt;1,1,$D71))</f>
        <v>0</v>
      </c>
      <c r="AK71" s="39" t="n">
        <f aca="false">IF(N($F71)&lt;=0,0,$F71/100*IF(OR($AB71="",$AC71="",N($AC71)&lt;1,N($AC71)&gt;24),0,IF($AE71=0,INDEX(Engine_Grid,225+$AB71,$AD71),IF(OR($AD71&gt;=24,INDEX(Engine_Grid,225+$AB71,$AD71)=0,INDEX(Engine_Grid,225+$AB71,$AD71+1)=0),0,INDEX(Engine_Grid,225+$AB71,$AD71)*(1-$AE71)+INDEX(Engine_Grid,225+$AB71,$AD71+1)*$AE71)))*IF(N($D71)&lt;1,1,$D71))</f>
        <v>0</v>
      </c>
    </row>
    <row r="72" customFormat="false" ht="15" hidden="false" customHeight="false" outlineLevel="0" collapsed="false">
      <c r="A72" s="31" t="n">
        <v>63</v>
      </c>
      <c r="B72" s="11"/>
      <c r="C72" s="11"/>
      <c r="D72" s="32"/>
      <c r="E72" s="33"/>
      <c r="F72" s="34"/>
      <c r="G72" s="35" t="str">
        <f aca="false">IF($AB72="","",IF(INDEX(Lib_Basis,$AB72)="Piece","pcs","cm"))</f>
        <v/>
      </c>
      <c r="H72" s="36" t="n">
        <f aca="false">IF(OR($AB72="",$AC72="",N($AC72)&lt;1,N($AC72)&gt;24),0,IF($AE72=0,INDEX(Engine_Grid,(WeightIdx-1)*75+$AB72,$AD72),IF(OR($AD72&gt;=24,INDEX(Engine_Grid,(WeightIdx-1)*75+$AB72,$AD72)=0,INDEX(Engine_Grid,(WeightIdx-1)*75+$AB72,$AD72+1)=0),0,INDEX(Engine_Grid,(WeightIdx-1)*75+$AB72,$AD72)*(1-$AE72)+INDEX(Engine_Grid,(WeightIdx-1)*75+$AB72,$AD72+1)*$AE72)))</f>
        <v>0</v>
      </c>
      <c r="I72" s="37" t="n">
        <f aca="false">IF(OR($H72=0,N($F72)&lt;=0),0,$F72/100*$H72*IF(N($D72)&lt;1,1,$D72))</f>
        <v>0</v>
      </c>
      <c r="J72" s="38" t="str">
        <f aca="false">IF($AB72="","",INDEX(Lib_Needle,$AB72))</f>
        <v/>
      </c>
      <c r="K72" s="38" t="str">
        <f aca="false">IF($AB72="","",INDEX(Lib_Bobbin,$AB72))</f>
        <v/>
      </c>
      <c r="L72" s="38" t="str">
        <f aca="false">IF($AB72="","",INDEX(Lib_Looper,$AB72))</f>
        <v/>
      </c>
      <c r="M72" s="38" t="str">
        <f aca="false">IF($AB72="","",INDEX(Lib_Cover,$AB72))</f>
        <v/>
      </c>
      <c r="N72" s="11"/>
      <c r="O72" s="39" t="n">
        <f aca="false">IF($I72=0,0,IF($AF72="Y",$I72*$J72/IF(N($D72)&lt;1,1,$D72),$I72*$J72))</f>
        <v>0</v>
      </c>
      <c r="P72" s="11"/>
      <c r="Q72" s="39" t="n">
        <f aca="false">IF(AND($I72&gt;0,$AF72="Y",IF(N($D72)&lt;1,1,$D72)&gt;=2),$I72*$J72/IF(N($D72)&lt;1,1,$D72),0)</f>
        <v>0</v>
      </c>
      <c r="R72" s="11"/>
      <c r="S72" s="39" t="n">
        <f aca="false">IF(AND($I72&gt;0,$AF72="Y",IF(N($D72)&lt;1,1,$D72)&gt;=3),$I72*$J72/IF(N($D72)&lt;1,1,$D72),0)</f>
        <v>0</v>
      </c>
      <c r="T72" s="11"/>
      <c r="U72" s="39" t="n">
        <f aca="false">IF($I72=0,0,$I72*$K72)</f>
        <v>0</v>
      </c>
      <c r="V72" s="11"/>
      <c r="W72" s="39" t="n">
        <f aca="false">IF($I72=0,0,$I72*$L72)</f>
        <v>0</v>
      </c>
      <c r="X72" s="11"/>
      <c r="Y72" s="39" t="n">
        <f aca="false">IF($I72=0,0,$I72*$M72)</f>
        <v>0</v>
      </c>
      <c r="Z72" s="39" t="n">
        <f aca="false">IF($N72="",$O72,0)+IF($P72="",$Q72,0)+IF($R72="",$S72,0)+IF($T72="",$U72,0)+IF($V72="",$W72,0)+IF($X72="",$Y72,0)+IF(AND($AF72="Y",IF(N($D72)&lt;1,1,$D72)&gt;3),$I72*$J72*(IF(N($D72)&lt;1,1,$D72)-3)/IF(N($D72)&lt;1,1,$D72),0)</f>
        <v>0</v>
      </c>
      <c r="AA72" s="40" t="str">
        <f aca="false">IF(AND($C72="",N($F72)=0),"",IF($C72="","⚠ Select a stitch type",IF($AB72="","⚠ Stitch not in library",IF(N($F72)&lt;=0,"⚠ Enter "&amp;IF($G72="pcs","quantity","seam length (cm)"),IF(AND($G72="cm",N($E72)&lt;=0),"⚠ Enter SPI",IF($H72=0,"⚠ No factor at SPI "&amp;$E72&amp;" – valid "&amp;INDEX(Lib_MinSPI,$AB72)&amp;"–"&amp;INDEX(Lib_MaxSPI,$AB72),IF(AND($AF72="Y",IF(N($D72)&lt;1,1,$D72)&gt;3),"⚠ More than 3 rows – thread for extra rows not allocated",IF($Z72&gt;0.00001,"⚠ Assign threads ("&amp;TEXT($Z72,"0.00")&amp;" m unassigned)","✔ OK"))))))))</f>
        <v/>
      </c>
      <c r="AB72" s="16" t="str">
        <f aca="false">IF($C72="","",IFERROR(MATCH($C72,Lib_Names,0),""))</f>
        <v/>
      </c>
      <c r="AC72" s="41" t="str">
        <f aca="false">IF($AB72="","",IF(INDEX(Lib_Basis,$AB72)="Piece",1,N($E72)))</f>
        <v/>
      </c>
      <c r="AD72" s="16" t="str">
        <f aca="false">IF($AC72="","",INT($AC72))</f>
        <v/>
      </c>
      <c r="AE72" s="17" t="str">
        <f aca="false">IF($AC72="","",$AC72-$AD72)</f>
        <v/>
      </c>
      <c r="AF72" s="35" t="str">
        <f aca="false">IF($AB72="","",INDEX(Lib_Multi,$AB72))</f>
        <v/>
      </c>
      <c r="AG72" s="42" t="str">
        <f aca="false">IF($AB72="","",INDEX(Lib_Cat,$AB72))</f>
        <v/>
      </c>
      <c r="AH72" s="39" t="n">
        <f aca="false">IF(N($F72)&lt;=0,0,$F72/100*IF(OR($AB72="",$AC72="",N($AC72)&lt;1,N($AC72)&gt;24),0,IF($AE72=0,INDEX(Engine_Grid,0+$AB72,$AD72),IF(OR($AD72&gt;=24,INDEX(Engine_Grid,0+$AB72,$AD72)=0,INDEX(Engine_Grid,0+$AB72,$AD72+1)=0),0,INDEX(Engine_Grid,0+$AB72,$AD72)*(1-$AE72)+INDEX(Engine_Grid,0+$AB72,$AD72+1)*$AE72)))*IF(N($D72)&lt;1,1,$D72))</f>
        <v>0</v>
      </c>
      <c r="AI72" s="39" t="n">
        <f aca="false">IF(N($F72)&lt;=0,0,$F72/100*IF(OR($AB72="",$AC72="",N($AC72)&lt;1,N($AC72)&gt;24),0,IF($AE72=0,INDEX(Engine_Grid,75+$AB72,$AD72),IF(OR($AD72&gt;=24,INDEX(Engine_Grid,75+$AB72,$AD72)=0,INDEX(Engine_Grid,75+$AB72,$AD72+1)=0),0,INDEX(Engine_Grid,75+$AB72,$AD72)*(1-$AE72)+INDEX(Engine_Grid,75+$AB72,$AD72+1)*$AE72)))*IF(N($D72)&lt;1,1,$D72))</f>
        <v>0</v>
      </c>
      <c r="AJ72" s="39" t="n">
        <f aca="false">IF(N($F72)&lt;=0,0,$F72/100*IF(OR($AB72="",$AC72="",N($AC72)&lt;1,N($AC72)&gt;24),0,IF($AE72=0,INDEX(Engine_Grid,150+$AB72,$AD72),IF(OR($AD72&gt;=24,INDEX(Engine_Grid,150+$AB72,$AD72)=0,INDEX(Engine_Grid,150+$AB72,$AD72+1)=0),0,INDEX(Engine_Grid,150+$AB72,$AD72)*(1-$AE72)+INDEX(Engine_Grid,150+$AB72,$AD72+1)*$AE72)))*IF(N($D72)&lt;1,1,$D72))</f>
        <v>0</v>
      </c>
      <c r="AK72" s="39" t="n">
        <f aca="false">IF(N($F72)&lt;=0,0,$F72/100*IF(OR($AB72="",$AC72="",N($AC72)&lt;1,N($AC72)&gt;24),0,IF($AE72=0,INDEX(Engine_Grid,225+$AB72,$AD72),IF(OR($AD72&gt;=24,INDEX(Engine_Grid,225+$AB72,$AD72)=0,INDEX(Engine_Grid,225+$AB72,$AD72+1)=0),0,INDEX(Engine_Grid,225+$AB72,$AD72)*(1-$AE72)+INDEX(Engine_Grid,225+$AB72,$AD72+1)*$AE72)))*IF(N($D72)&lt;1,1,$D72))</f>
        <v>0</v>
      </c>
    </row>
    <row r="73" customFormat="false" ht="15" hidden="false" customHeight="false" outlineLevel="0" collapsed="false">
      <c r="A73" s="31" t="n">
        <v>64</v>
      </c>
      <c r="B73" s="11"/>
      <c r="C73" s="11"/>
      <c r="D73" s="32"/>
      <c r="E73" s="33"/>
      <c r="F73" s="34"/>
      <c r="G73" s="35" t="str">
        <f aca="false">IF($AB73="","",IF(INDEX(Lib_Basis,$AB73)="Piece","pcs","cm"))</f>
        <v/>
      </c>
      <c r="H73" s="36" t="n">
        <f aca="false">IF(OR($AB73="",$AC73="",N($AC73)&lt;1,N($AC73)&gt;24),0,IF($AE73=0,INDEX(Engine_Grid,(WeightIdx-1)*75+$AB73,$AD73),IF(OR($AD73&gt;=24,INDEX(Engine_Grid,(WeightIdx-1)*75+$AB73,$AD73)=0,INDEX(Engine_Grid,(WeightIdx-1)*75+$AB73,$AD73+1)=0),0,INDEX(Engine_Grid,(WeightIdx-1)*75+$AB73,$AD73)*(1-$AE73)+INDEX(Engine_Grid,(WeightIdx-1)*75+$AB73,$AD73+1)*$AE73)))</f>
        <v>0</v>
      </c>
      <c r="I73" s="37" t="n">
        <f aca="false">IF(OR($H73=0,N($F73)&lt;=0),0,$F73/100*$H73*IF(N($D73)&lt;1,1,$D73))</f>
        <v>0</v>
      </c>
      <c r="J73" s="38" t="str">
        <f aca="false">IF($AB73="","",INDEX(Lib_Needle,$AB73))</f>
        <v/>
      </c>
      <c r="K73" s="38" t="str">
        <f aca="false">IF($AB73="","",INDEX(Lib_Bobbin,$AB73))</f>
        <v/>
      </c>
      <c r="L73" s="38" t="str">
        <f aca="false">IF($AB73="","",INDEX(Lib_Looper,$AB73))</f>
        <v/>
      </c>
      <c r="M73" s="38" t="str">
        <f aca="false">IF($AB73="","",INDEX(Lib_Cover,$AB73))</f>
        <v/>
      </c>
      <c r="N73" s="11"/>
      <c r="O73" s="39" t="n">
        <f aca="false">IF($I73=0,0,IF($AF73="Y",$I73*$J73/IF(N($D73)&lt;1,1,$D73),$I73*$J73))</f>
        <v>0</v>
      </c>
      <c r="P73" s="11"/>
      <c r="Q73" s="39" t="n">
        <f aca="false">IF(AND($I73&gt;0,$AF73="Y",IF(N($D73)&lt;1,1,$D73)&gt;=2),$I73*$J73/IF(N($D73)&lt;1,1,$D73),0)</f>
        <v>0</v>
      </c>
      <c r="R73" s="11"/>
      <c r="S73" s="39" t="n">
        <f aca="false">IF(AND($I73&gt;0,$AF73="Y",IF(N($D73)&lt;1,1,$D73)&gt;=3),$I73*$J73/IF(N($D73)&lt;1,1,$D73),0)</f>
        <v>0</v>
      </c>
      <c r="T73" s="11"/>
      <c r="U73" s="39" t="n">
        <f aca="false">IF($I73=0,0,$I73*$K73)</f>
        <v>0</v>
      </c>
      <c r="V73" s="11"/>
      <c r="W73" s="39" t="n">
        <f aca="false">IF($I73=0,0,$I73*$L73)</f>
        <v>0</v>
      </c>
      <c r="X73" s="11"/>
      <c r="Y73" s="39" t="n">
        <f aca="false">IF($I73=0,0,$I73*$M73)</f>
        <v>0</v>
      </c>
      <c r="Z73" s="39" t="n">
        <f aca="false">IF($N73="",$O73,0)+IF($P73="",$Q73,0)+IF($R73="",$S73,0)+IF($T73="",$U73,0)+IF($V73="",$W73,0)+IF($X73="",$Y73,0)+IF(AND($AF73="Y",IF(N($D73)&lt;1,1,$D73)&gt;3),$I73*$J73*(IF(N($D73)&lt;1,1,$D73)-3)/IF(N($D73)&lt;1,1,$D73),0)</f>
        <v>0</v>
      </c>
      <c r="AA73" s="40" t="str">
        <f aca="false">IF(AND($C73="",N($F73)=0),"",IF($C73="","⚠ Select a stitch type",IF($AB73="","⚠ Stitch not in library",IF(N($F73)&lt;=0,"⚠ Enter "&amp;IF($G73="pcs","quantity","seam length (cm)"),IF(AND($G73="cm",N($E73)&lt;=0),"⚠ Enter SPI",IF($H73=0,"⚠ No factor at SPI "&amp;$E73&amp;" – valid "&amp;INDEX(Lib_MinSPI,$AB73)&amp;"–"&amp;INDEX(Lib_MaxSPI,$AB73),IF(AND($AF73="Y",IF(N($D73)&lt;1,1,$D73)&gt;3),"⚠ More than 3 rows – thread for extra rows not allocated",IF($Z73&gt;0.00001,"⚠ Assign threads ("&amp;TEXT($Z73,"0.00")&amp;" m unassigned)","✔ OK"))))))))</f>
        <v/>
      </c>
      <c r="AB73" s="16" t="str">
        <f aca="false">IF($C73="","",IFERROR(MATCH($C73,Lib_Names,0),""))</f>
        <v/>
      </c>
      <c r="AC73" s="41" t="str">
        <f aca="false">IF($AB73="","",IF(INDEX(Lib_Basis,$AB73)="Piece",1,N($E73)))</f>
        <v/>
      </c>
      <c r="AD73" s="16" t="str">
        <f aca="false">IF($AC73="","",INT($AC73))</f>
        <v/>
      </c>
      <c r="AE73" s="17" t="str">
        <f aca="false">IF($AC73="","",$AC73-$AD73)</f>
        <v/>
      </c>
      <c r="AF73" s="35" t="str">
        <f aca="false">IF($AB73="","",INDEX(Lib_Multi,$AB73))</f>
        <v/>
      </c>
      <c r="AG73" s="42" t="str">
        <f aca="false">IF($AB73="","",INDEX(Lib_Cat,$AB73))</f>
        <v/>
      </c>
      <c r="AH73" s="39" t="n">
        <f aca="false">IF(N($F73)&lt;=0,0,$F73/100*IF(OR($AB73="",$AC73="",N($AC73)&lt;1,N($AC73)&gt;24),0,IF($AE73=0,INDEX(Engine_Grid,0+$AB73,$AD73),IF(OR($AD73&gt;=24,INDEX(Engine_Grid,0+$AB73,$AD73)=0,INDEX(Engine_Grid,0+$AB73,$AD73+1)=0),0,INDEX(Engine_Grid,0+$AB73,$AD73)*(1-$AE73)+INDEX(Engine_Grid,0+$AB73,$AD73+1)*$AE73)))*IF(N($D73)&lt;1,1,$D73))</f>
        <v>0</v>
      </c>
      <c r="AI73" s="39" t="n">
        <f aca="false">IF(N($F73)&lt;=0,0,$F73/100*IF(OR($AB73="",$AC73="",N($AC73)&lt;1,N($AC73)&gt;24),0,IF($AE73=0,INDEX(Engine_Grid,75+$AB73,$AD73),IF(OR($AD73&gt;=24,INDEX(Engine_Grid,75+$AB73,$AD73)=0,INDEX(Engine_Grid,75+$AB73,$AD73+1)=0),0,INDEX(Engine_Grid,75+$AB73,$AD73)*(1-$AE73)+INDEX(Engine_Grid,75+$AB73,$AD73+1)*$AE73)))*IF(N($D73)&lt;1,1,$D73))</f>
        <v>0</v>
      </c>
      <c r="AJ73" s="39" t="n">
        <f aca="false">IF(N($F73)&lt;=0,0,$F73/100*IF(OR($AB73="",$AC73="",N($AC73)&lt;1,N($AC73)&gt;24),0,IF($AE73=0,INDEX(Engine_Grid,150+$AB73,$AD73),IF(OR($AD73&gt;=24,INDEX(Engine_Grid,150+$AB73,$AD73)=0,INDEX(Engine_Grid,150+$AB73,$AD73+1)=0),0,INDEX(Engine_Grid,150+$AB73,$AD73)*(1-$AE73)+INDEX(Engine_Grid,150+$AB73,$AD73+1)*$AE73)))*IF(N($D73)&lt;1,1,$D73))</f>
        <v>0</v>
      </c>
      <c r="AK73" s="39" t="n">
        <f aca="false">IF(N($F73)&lt;=0,0,$F73/100*IF(OR($AB73="",$AC73="",N($AC73)&lt;1,N($AC73)&gt;24),0,IF($AE73=0,INDEX(Engine_Grid,225+$AB73,$AD73),IF(OR($AD73&gt;=24,INDEX(Engine_Grid,225+$AB73,$AD73)=0,INDEX(Engine_Grid,225+$AB73,$AD73+1)=0),0,INDEX(Engine_Grid,225+$AB73,$AD73)*(1-$AE73)+INDEX(Engine_Grid,225+$AB73,$AD73+1)*$AE73)))*IF(N($D73)&lt;1,1,$D73))</f>
        <v>0</v>
      </c>
    </row>
    <row r="74" customFormat="false" ht="15" hidden="false" customHeight="false" outlineLevel="0" collapsed="false">
      <c r="A74" s="31" t="n">
        <v>65</v>
      </c>
      <c r="B74" s="11"/>
      <c r="C74" s="11"/>
      <c r="D74" s="32"/>
      <c r="E74" s="33"/>
      <c r="F74" s="34"/>
      <c r="G74" s="35" t="str">
        <f aca="false">IF($AB74="","",IF(INDEX(Lib_Basis,$AB74)="Piece","pcs","cm"))</f>
        <v/>
      </c>
      <c r="H74" s="36" t="n">
        <f aca="false">IF(OR($AB74="",$AC74="",N($AC74)&lt;1,N($AC74)&gt;24),0,IF($AE74=0,INDEX(Engine_Grid,(WeightIdx-1)*75+$AB74,$AD74),IF(OR($AD74&gt;=24,INDEX(Engine_Grid,(WeightIdx-1)*75+$AB74,$AD74)=0,INDEX(Engine_Grid,(WeightIdx-1)*75+$AB74,$AD74+1)=0),0,INDEX(Engine_Grid,(WeightIdx-1)*75+$AB74,$AD74)*(1-$AE74)+INDEX(Engine_Grid,(WeightIdx-1)*75+$AB74,$AD74+1)*$AE74)))</f>
        <v>0</v>
      </c>
      <c r="I74" s="37" t="n">
        <f aca="false">IF(OR($H74=0,N($F74)&lt;=0),0,$F74/100*$H74*IF(N($D74)&lt;1,1,$D74))</f>
        <v>0</v>
      </c>
      <c r="J74" s="38" t="str">
        <f aca="false">IF($AB74="","",INDEX(Lib_Needle,$AB74))</f>
        <v/>
      </c>
      <c r="K74" s="38" t="str">
        <f aca="false">IF($AB74="","",INDEX(Lib_Bobbin,$AB74))</f>
        <v/>
      </c>
      <c r="L74" s="38" t="str">
        <f aca="false">IF($AB74="","",INDEX(Lib_Looper,$AB74))</f>
        <v/>
      </c>
      <c r="M74" s="38" t="str">
        <f aca="false">IF($AB74="","",INDEX(Lib_Cover,$AB74))</f>
        <v/>
      </c>
      <c r="N74" s="11"/>
      <c r="O74" s="39" t="n">
        <f aca="false">IF($I74=0,0,IF($AF74="Y",$I74*$J74/IF(N($D74)&lt;1,1,$D74),$I74*$J74))</f>
        <v>0</v>
      </c>
      <c r="P74" s="11"/>
      <c r="Q74" s="39" t="n">
        <f aca="false">IF(AND($I74&gt;0,$AF74="Y",IF(N($D74)&lt;1,1,$D74)&gt;=2),$I74*$J74/IF(N($D74)&lt;1,1,$D74),0)</f>
        <v>0</v>
      </c>
      <c r="R74" s="11"/>
      <c r="S74" s="39" t="n">
        <f aca="false">IF(AND($I74&gt;0,$AF74="Y",IF(N($D74)&lt;1,1,$D74)&gt;=3),$I74*$J74/IF(N($D74)&lt;1,1,$D74),0)</f>
        <v>0</v>
      </c>
      <c r="T74" s="11"/>
      <c r="U74" s="39" t="n">
        <f aca="false">IF($I74=0,0,$I74*$K74)</f>
        <v>0</v>
      </c>
      <c r="V74" s="11"/>
      <c r="W74" s="39" t="n">
        <f aca="false">IF($I74=0,0,$I74*$L74)</f>
        <v>0</v>
      </c>
      <c r="X74" s="11"/>
      <c r="Y74" s="39" t="n">
        <f aca="false">IF($I74=0,0,$I74*$M74)</f>
        <v>0</v>
      </c>
      <c r="Z74" s="39" t="n">
        <f aca="false">IF($N74="",$O74,0)+IF($P74="",$Q74,0)+IF($R74="",$S74,0)+IF($T74="",$U74,0)+IF($V74="",$W74,0)+IF($X74="",$Y74,0)+IF(AND($AF74="Y",IF(N($D74)&lt;1,1,$D74)&gt;3),$I74*$J74*(IF(N($D74)&lt;1,1,$D74)-3)/IF(N($D74)&lt;1,1,$D74),0)</f>
        <v>0</v>
      </c>
      <c r="AA74" s="40" t="str">
        <f aca="false">IF(AND($C74="",N($F74)=0),"",IF($C74="","⚠ Select a stitch type",IF($AB74="","⚠ Stitch not in library",IF(N($F74)&lt;=0,"⚠ Enter "&amp;IF($G74="pcs","quantity","seam length (cm)"),IF(AND($G74="cm",N($E74)&lt;=0),"⚠ Enter SPI",IF($H74=0,"⚠ No factor at SPI "&amp;$E74&amp;" – valid "&amp;INDEX(Lib_MinSPI,$AB74)&amp;"–"&amp;INDEX(Lib_MaxSPI,$AB74),IF(AND($AF74="Y",IF(N($D74)&lt;1,1,$D74)&gt;3),"⚠ More than 3 rows – thread for extra rows not allocated",IF($Z74&gt;0.00001,"⚠ Assign threads ("&amp;TEXT($Z74,"0.00")&amp;" m unassigned)","✔ OK"))))))))</f>
        <v/>
      </c>
      <c r="AB74" s="16" t="str">
        <f aca="false">IF($C74="","",IFERROR(MATCH($C74,Lib_Names,0),""))</f>
        <v/>
      </c>
      <c r="AC74" s="41" t="str">
        <f aca="false">IF($AB74="","",IF(INDEX(Lib_Basis,$AB74)="Piece",1,N($E74)))</f>
        <v/>
      </c>
      <c r="AD74" s="16" t="str">
        <f aca="false">IF($AC74="","",INT($AC74))</f>
        <v/>
      </c>
      <c r="AE74" s="17" t="str">
        <f aca="false">IF($AC74="","",$AC74-$AD74)</f>
        <v/>
      </c>
      <c r="AF74" s="35" t="str">
        <f aca="false">IF($AB74="","",INDEX(Lib_Multi,$AB74))</f>
        <v/>
      </c>
      <c r="AG74" s="42" t="str">
        <f aca="false">IF($AB74="","",INDEX(Lib_Cat,$AB74))</f>
        <v/>
      </c>
      <c r="AH74" s="39" t="n">
        <f aca="false">IF(N($F74)&lt;=0,0,$F74/100*IF(OR($AB74="",$AC74="",N($AC74)&lt;1,N($AC74)&gt;24),0,IF($AE74=0,INDEX(Engine_Grid,0+$AB74,$AD74),IF(OR($AD74&gt;=24,INDEX(Engine_Grid,0+$AB74,$AD74)=0,INDEX(Engine_Grid,0+$AB74,$AD74+1)=0),0,INDEX(Engine_Grid,0+$AB74,$AD74)*(1-$AE74)+INDEX(Engine_Grid,0+$AB74,$AD74+1)*$AE74)))*IF(N($D74)&lt;1,1,$D74))</f>
        <v>0</v>
      </c>
      <c r="AI74" s="39" t="n">
        <f aca="false">IF(N($F74)&lt;=0,0,$F74/100*IF(OR($AB74="",$AC74="",N($AC74)&lt;1,N($AC74)&gt;24),0,IF($AE74=0,INDEX(Engine_Grid,75+$AB74,$AD74),IF(OR($AD74&gt;=24,INDEX(Engine_Grid,75+$AB74,$AD74)=0,INDEX(Engine_Grid,75+$AB74,$AD74+1)=0),0,INDEX(Engine_Grid,75+$AB74,$AD74)*(1-$AE74)+INDEX(Engine_Grid,75+$AB74,$AD74+1)*$AE74)))*IF(N($D74)&lt;1,1,$D74))</f>
        <v>0</v>
      </c>
      <c r="AJ74" s="39" t="n">
        <f aca="false">IF(N($F74)&lt;=0,0,$F74/100*IF(OR($AB74="",$AC74="",N($AC74)&lt;1,N($AC74)&gt;24),0,IF($AE74=0,INDEX(Engine_Grid,150+$AB74,$AD74),IF(OR($AD74&gt;=24,INDEX(Engine_Grid,150+$AB74,$AD74)=0,INDEX(Engine_Grid,150+$AB74,$AD74+1)=0),0,INDEX(Engine_Grid,150+$AB74,$AD74)*(1-$AE74)+INDEX(Engine_Grid,150+$AB74,$AD74+1)*$AE74)))*IF(N($D74)&lt;1,1,$D74))</f>
        <v>0</v>
      </c>
      <c r="AK74" s="39" t="n">
        <f aca="false">IF(N($F74)&lt;=0,0,$F74/100*IF(OR($AB74="",$AC74="",N($AC74)&lt;1,N($AC74)&gt;24),0,IF($AE74=0,INDEX(Engine_Grid,225+$AB74,$AD74),IF(OR($AD74&gt;=24,INDEX(Engine_Grid,225+$AB74,$AD74)=0,INDEX(Engine_Grid,225+$AB74,$AD74+1)=0),0,INDEX(Engine_Grid,225+$AB74,$AD74)*(1-$AE74)+INDEX(Engine_Grid,225+$AB74,$AD74+1)*$AE74)))*IF(N($D74)&lt;1,1,$D74))</f>
        <v>0</v>
      </c>
    </row>
    <row r="75" customFormat="false" ht="15" hidden="false" customHeight="false" outlineLevel="0" collapsed="false">
      <c r="A75" s="31" t="n">
        <v>66</v>
      </c>
      <c r="B75" s="11"/>
      <c r="C75" s="11"/>
      <c r="D75" s="32"/>
      <c r="E75" s="33"/>
      <c r="F75" s="34"/>
      <c r="G75" s="35" t="str">
        <f aca="false">IF($AB75="","",IF(INDEX(Lib_Basis,$AB75)="Piece","pcs","cm"))</f>
        <v/>
      </c>
      <c r="H75" s="36" t="n">
        <f aca="false">IF(OR($AB75="",$AC75="",N($AC75)&lt;1,N($AC75)&gt;24),0,IF($AE75=0,INDEX(Engine_Grid,(WeightIdx-1)*75+$AB75,$AD75),IF(OR($AD75&gt;=24,INDEX(Engine_Grid,(WeightIdx-1)*75+$AB75,$AD75)=0,INDEX(Engine_Grid,(WeightIdx-1)*75+$AB75,$AD75+1)=0),0,INDEX(Engine_Grid,(WeightIdx-1)*75+$AB75,$AD75)*(1-$AE75)+INDEX(Engine_Grid,(WeightIdx-1)*75+$AB75,$AD75+1)*$AE75)))</f>
        <v>0</v>
      </c>
      <c r="I75" s="37" t="n">
        <f aca="false">IF(OR($H75=0,N($F75)&lt;=0),0,$F75/100*$H75*IF(N($D75)&lt;1,1,$D75))</f>
        <v>0</v>
      </c>
      <c r="J75" s="38" t="str">
        <f aca="false">IF($AB75="","",INDEX(Lib_Needle,$AB75))</f>
        <v/>
      </c>
      <c r="K75" s="38" t="str">
        <f aca="false">IF($AB75="","",INDEX(Lib_Bobbin,$AB75))</f>
        <v/>
      </c>
      <c r="L75" s="38" t="str">
        <f aca="false">IF($AB75="","",INDEX(Lib_Looper,$AB75))</f>
        <v/>
      </c>
      <c r="M75" s="38" t="str">
        <f aca="false">IF($AB75="","",INDEX(Lib_Cover,$AB75))</f>
        <v/>
      </c>
      <c r="N75" s="11"/>
      <c r="O75" s="39" t="n">
        <f aca="false">IF($I75=0,0,IF($AF75="Y",$I75*$J75/IF(N($D75)&lt;1,1,$D75),$I75*$J75))</f>
        <v>0</v>
      </c>
      <c r="P75" s="11"/>
      <c r="Q75" s="39" t="n">
        <f aca="false">IF(AND($I75&gt;0,$AF75="Y",IF(N($D75)&lt;1,1,$D75)&gt;=2),$I75*$J75/IF(N($D75)&lt;1,1,$D75),0)</f>
        <v>0</v>
      </c>
      <c r="R75" s="11"/>
      <c r="S75" s="39" t="n">
        <f aca="false">IF(AND($I75&gt;0,$AF75="Y",IF(N($D75)&lt;1,1,$D75)&gt;=3),$I75*$J75/IF(N($D75)&lt;1,1,$D75),0)</f>
        <v>0</v>
      </c>
      <c r="T75" s="11"/>
      <c r="U75" s="39" t="n">
        <f aca="false">IF($I75=0,0,$I75*$K75)</f>
        <v>0</v>
      </c>
      <c r="V75" s="11"/>
      <c r="W75" s="39" t="n">
        <f aca="false">IF($I75=0,0,$I75*$L75)</f>
        <v>0</v>
      </c>
      <c r="X75" s="11"/>
      <c r="Y75" s="39" t="n">
        <f aca="false">IF($I75=0,0,$I75*$M75)</f>
        <v>0</v>
      </c>
      <c r="Z75" s="39" t="n">
        <f aca="false">IF($N75="",$O75,0)+IF($P75="",$Q75,0)+IF($R75="",$S75,0)+IF($T75="",$U75,0)+IF($V75="",$W75,0)+IF($X75="",$Y75,0)+IF(AND($AF75="Y",IF(N($D75)&lt;1,1,$D75)&gt;3),$I75*$J75*(IF(N($D75)&lt;1,1,$D75)-3)/IF(N($D75)&lt;1,1,$D75),0)</f>
        <v>0</v>
      </c>
      <c r="AA75" s="40" t="str">
        <f aca="false">IF(AND($C75="",N($F75)=0),"",IF($C75="","⚠ Select a stitch type",IF($AB75="","⚠ Stitch not in library",IF(N($F75)&lt;=0,"⚠ Enter "&amp;IF($G75="pcs","quantity","seam length (cm)"),IF(AND($G75="cm",N($E75)&lt;=0),"⚠ Enter SPI",IF($H75=0,"⚠ No factor at SPI "&amp;$E75&amp;" – valid "&amp;INDEX(Lib_MinSPI,$AB75)&amp;"–"&amp;INDEX(Lib_MaxSPI,$AB75),IF(AND($AF75="Y",IF(N($D75)&lt;1,1,$D75)&gt;3),"⚠ More than 3 rows – thread for extra rows not allocated",IF($Z75&gt;0.00001,"⚠ Assign threads ("&amp;TEXT($Z75,"0.00")&amp;" m unassigned)","✔ OK"))))))))</f>
        <v/>
      </c>
      <c r="AB75" s="16" t="str">
        <f aca="false">IF($C75="","",IFERROR(MATCH($C75,Lib_Names,0),""))</f>
        <v/>
      </c>
      <c r="AC75" s="41" t="str">
        <f aca="false">IF($AB75="","",IF(INDEX(Lib_Basis,$AB75)="Piece",1,N($E75)))</f>
        <v/>
      </c>
      <c r="AD75" s="16" t="str">
        <f aca="false">IF($AC75="","",INT($AC75))</f>
        <v/>
      </c>
      <c r="AE75" s="17" t="str">
        <f aca="false">IF($AC75="","",$AC75-$AD75)</f>
        <v/>
      </c>
      <c r="AF75" s="35" t="str">
        <f aca="false">IF($AB75="","",INDEX(Lib_Multi,$AB75))</f>
        <v/>
      </c>
      <c r="AG75" s="42" t="str">
        <f aca="false">IF($AB75="","",INDEX(Lib_Cat,$AB75))</f>
        <v/>
      </c>
      <c r="AH75" s="39" t="n">
        <f aca="false">IF(N($F75)&lt;=0,0,$F75/100*IF(OR($AB75="",$AC75="",N($AC75)&lt;1,N($AC75)&gt;24),0,IF($AE75=0,INDEX(Engine_Grid,0+$AB75,$AD75),IF(OR($AD75&gt;=24,INDEX(Engine_Grid,0+$AB75,$AD75)=0,INDEX(Engine_Grid,0+$AB75,$AD75+1)=0),0,INDEX(Engine_Grid,0+$AB75,$AD75)*(1-$AE75)+INDEX(Engine_Grid,0+$AB75,$AD75+1)*$AE75)))*IF(N($D75)&lt;1,1,$D75))</f>
        <v>0</v>
      </c>
      <c r="AI75" s="39" t="n">
        <f aca="false">IF(N($F75)&lt;=0,0,$F75/100*IF(OR($AB75="",$AC75="",N($AC75)&lt;1,N($AC75)&gt;24),0,IF($AE75=0,INDEX(Engine_Grid,75+$AB75,$AD75),IF(OR($AD75&gt;=24,INDEX(Engine_Grid,75+$AB75,$AD75)=0,INDEX(Engine_Grid,75+$AB75,$AD75+1)=0),0,INDEX(Engine_Grid,75+$AB75,$AD75)*(1-$AE75)+INDEX(Engine_Grid,75+$AB75,$AD75+1)*$AE75)))*IF(N($D75)&lt;1,1,$D75))</f>
        <v>0</v>
      </c>
      <c r="AJ75" s="39" t="n">
        <f aca="false">IF(N($F75)&lt;=0,0,$F75/100*IF(OR($AB75="",$AC75="",N($AC75)&lt;1,N($AC75)&gt;24),0,IF($AE75=0,INDEX(Engine_Grid,150+$AB75,$AD75),IF(OR($AD75&gt;=24,INDEX(Engine_Grid,150+$AB75,$AD75)=0,INDEX(Engine_Grid,150+$AB75,$AD75+1)=0),0,INDEX(Engine_Grid,150+$AB75,$AD75)*(1-$AE75)+INDEX(Engine_Grid,150+$AB75,$AD75+1)*$AE75)))*IF(N($D75)&lt;1,1,$D75))</f>
        <v>0</v>
      </c>
      <c r="AK75" s="39" t="n">
        <f aca="false">IF(N($F75)&lt;=0,0,$F75/100*IF(OR($AB75="",$AC75="",N($AC75)&lt;1,N($AC75)&gt;24),0,IF($AE75=0,INDEX(Engine_Grid,225+$AB75,$AD75),IF(OR($AD75&gt;=24,INDEX(Engine_Grid,225+$AB75,$AD75)=0,INDEX(Engine_Grid,225+$AB75,$AD75+1)=0),0,INDEX(Engine_Grid,225+$AB75,$AD75)*(1-$AE75)+INDEX(Engine_Grid,225+$AB75,$AD75+1)*$AE75)))*IF(N($D75)&lt;1,1,$D75))</f>
        <v>0</v>
      </c>
    </row>
    <row r="76" customFormat="false" ht="15" hidden="false" customHeight="false" outlineLevel="0" collapsed="false">
      <c r="A76" s="31" t="n">
        <v>67</v>
      </c>
      <c r="B76" s="11"/>
      <c r="C76" s="11"/>
      <c r="D76" s="32"/>
      <c r="E76" s="33"/>
      <c r="F76" s="34"/>
      <c r="G76" s="35" t="str">
        <f aca="false">IF($AB76="","",IF(INDEX(Lib_Basis,$AB76)="Piece","pcs","cm"))</f>
        <v/>
      </c>
      <c r="H76" s="36" t="n">
        <f aca="false">IF(OR($AB76="",$AC76="",N($AC76)&lt;1,N($AC76)&gt;24),0,IF($AE76=0,INDEX(Engine_Grid,(WeightIdx-1)*75+$AB76,$AD76),IF(OR($AD76&gt;=24,INDEX(Engine_Grid,(WeightIdx-1)*75+$AB76,$AD76)=0,INDEX(Engine_Grid,(WeightIdx-1)*75+$AB76,$AD76+1)=0),0,INDEX(Engine_Grid,(WeightIdx-1)*75+$AB76,$AD76)*(1-$AE76)+INDEX(Engine_Grid,(WeightIdx-1)*75+$AB76,$AD76+1)*$AE76)))</f>
        <v>0</v>
      </c>
      <c r="I76" s="37" t="n">
        <f aca="false">IF(OR($H76=0,N($F76)&lt;=0),0,$F76/100*$H76*IF(N($D76)&lt;1,1,$D76))</f>
        <v>0</v>
      </c>
      <c r="J76" s="38" t="str">
        <f aca="false">IF($AB76="","",INDEX(Lib_Needle,$AB76))</f>
        <v/>
      </c>
      <c r="K76" s="38" t="str">
        <f aca="false">IF($AB76="","",INDEX(Lib_Bobbin,$AB76))</f>
        <v/>
      </c>
      <c r="L76" s="38" t="str">
        <f aca="false">IF($AB76="","",INDEX(Lib_Looper,$AB76))</f>
        <v/>
      </c>
      <c r="M76" s="38" t="str">
        <f aca="false">IF($AB76="","",INDEX(Lib_Cover,$AB76))</f>
        <v/>
      </c>
      <c r="N76" s="11"/>
      <c r="O76" s="39" t="n">
        <f aca="false">IF($I76=0,0,IF($AF76="Y",$I76*$J76/IF(N($D76)&lt;1,1,$D76),$I76*$J76))</f>
        <v>0</v>
      </c>
      <c r="P76" s="11"/>
      <c r="Q76" s="39" t="n">
        <f aca="false">IF(AND($I76&gt;0,$AF76="Y",IF(N($D76)&lt;1,1,$D76)&gt;=2),$I76*$J76/IF(N($D76)&lt;1,1,$D76),0)</f>
        <v>0</v>
      </c>
      <c r="R76" s="11"/>
      <c r="S76" s="39" t="n">
        <f aca="false">IF(AND($I76&gt;0,$AF76="Y",IF(N($D76)&lt;1,1,$D76)&gt;=3),$I76*$J76/IF(N($D76)&lt;1,1,$D76),0)</f>
        <v>0</v>
      </c>
      <c r="T76" s="11"/>
      <c r="U76" s="39" t="n">
        <f aca="false">IF($I76=0,0,$I76*$K76)</f>
        <v>0</v>
      </c>
      <c r="V76" s="11"/>
      <c r="W76" s="39" t="n">
        <f aca="false">IF($I76=0,0,$I76*$L76)</f>
        <v>0</v>
      </c>
      <c r="X76" s="11"/>
      <c r="Y76" s="39" t="n">
        <f aca="false">IF($I76=0,0,$I76*$M76)</f>
        <v>0</v>
      </c>
      <c r="Z76" s="39" t="n">
        <f aca="false">IF($N76="",$O76,0)+IF($P76="",$Q76,0)+IF($R76="",$S76,0)+IF($T76="",$U76,0)+IF($V76="",$W76,0)+IF($X76="",$Y76,0)+IF(AND($AF76="Y",IF(N($D76)&lt;1,1,$D76)&gt;3),$I76*$J76*(IF(N($D76)&lt;1,1,$D76)-3)/IF(N($D76)&lt;1,1,$D76),0)</f>
        <v>0</v>
      </c>
      <c r="AA76" s="40" t="str">
        <f aca="false">IF(AND($C76="",N($F76)=0),"",IF($C76="","⚠ Select a stitch type",IF($AB76="","⚠ Stitch not in library",IF(N($F76)&lt;=0,"⚠ Enter "&amp;IF($G76="pcs","quantity","seam length (cm)"),IF(AND($G76="cm",N($E76)&lt;=0),"⚠ Enter SPI",IF($H76=0,"⚠ No factor at SPI "&amp;$E76&amp;" – valid "&amp;INDEX(Lib_MinSPI,$AB76)&amp;"–"&amp;INDEX(Lib_MaxSPI,$AB76),IF(AND($AF76="Y",IF(N($D76)&lt;1,1,$D76)&gt;3),"⚠ More than 3 rows – thread for extra rows not allocated",IF($Z76&gt;0.00001,"⚠ Assign threads ("&amp;TEXT($Z76,"0.00")&amp;" m unassigned)","✔ OK"))))))))</f>
        <v/>
      </c>
      <c r="AB76" s="16" t="str">
        <f aca="false">IF($C76="","",IFERROR(MATCH($C76,Lib_Names,0),""))</f>
        <v/>
      </c>
      <c r="AC76" s="41" t="str">
        <f aca="false">IF($AB76="","",IF(INDEX(Lib_Basis,$AB76)="Piece",1,N($E76)))</f>
        <v/>
      </c>
      <c r="AD76" s="16" t="str">
        <f aca="false">IF($AC76="","",INT($AC76))</f>
        <v/>
      </c>
      <c r="AE76" s="17" t="str">
        <f aca="false">IF($AC76="","",$AC76-$AD76)</f>
        <v/>
      </c>
      <c r="AF76" s="35" t="str">
        <f aca="false">IF($AB76="","",INDEX(Lib_Multi,$AB76))</f>
        <v/>
      </c>
      <c r="AG76" s="42" t="str">
        <f aca="false">IF($AB76="","",INDEX(Lib_Cat,$AB76))</f>
        <v/>
      </c>
      <c r="AH76" s="39" t="n">
        <f aca="false">IF(N($F76)&lt;=0,0,$F76/100*IF(OR($AB76="",$AC76="",N($AC76)&lt;1,N($AC76)&gt;24),0,IF($AE76=0,INDEX(Engine_Grid,0+$AB76,$AD76),IF(OR($AD76&gt;=24,INDEX(Engine_Grid,0+$AB76,$AD76)=0,INDEX(Engine_Grid,0+$AB76,$AD76+1)=0),0,INDEX(Engine_Grid,0+$AB76,$AD76)*(1-$AE76)+INDEX(Engine_Grid,0+$AB76,$AD76+1)*$AE76)))*IF(N($D76)&lt;1,1,$D76))</f>
        <v>0</v>
      </c>
      <c r="AI76" s="39" t="n">
        <f aca="false">IF(N($F76)&lt;=0,0,$F76/100*IF(OR($AB76="",$AC76="",N($AC76)&lt;1,N($AC76)&gt;24),0,IF($AE76=0,INDEX(Engine_Grid,75+$AB76,$AD76),IF(OR($AD76&gt;=24,INDEX(Engine_Grid,75+$AB76,$AD76)=0,INDEX(Engine_Grid,75+$AB76,$AD76+1)=0),0,INDEX(Engine_Grid,75+$AB76,$AD76)*(1-$AE76)+INDEX(Engine_Grid,75+$AB76,$AD76+1)*$AE76)))*IF(N($D76)&lt;1,1,$D76))</f>
        <v>0</v>
      </c>
      <c r="AJ76" s="39" t="n">
        <f aca="false">IF(N($F76)&lt;=0,0,$F76/100*IF(OR($AB76="",$AC76="",N($AC76)&lt;1,N($AC76)&gt;24),0,IF($AE76=0,INDEX(Engine_Grid,150+$AB76,$AD76),IF(OR($AD76&gt;=24,INDEX(Engine_Grid,150+$AB76,$AD76)=0,INDEX(Engine_Grid,150+$AB76,$AD76+1)=0),0,INDEX(Engine_Grid,150+$AB76,$AD76)*(1-$AE76)+INDEX(Engine_Grid,150+$AB76,$AD76+1)*$AE76)))*IF(N($D76)&lt;1,1,$D76))</f>
        <v>0</v>
      </c>
      <c r="AK76" s="39" t="n">
        <f aca="false">IF(N($F76)&lt;=0,0,$F76/100*IF(OR($AB76="",$AC76="",N($AC76)&lt;1,N($AC76)&gt;24),0,IF($AE76=0,INDEX(Engine_Grid,225+$AB76,$AD76),IF(OR($AD76&gt;=24,INDEX(Engine_Grid,225+$AB76,$AD76)=0,INDEX(Engine_Grid,225+$AB76,$AD76+1)=0),0,INDEX(Engine_Grid,225+$AB76,$AD76)*(1-$AE76)+INDEX(Engine_Grid,225+$AB76,$AD76+1)*$AE76)))*IF(N($D76)&lt;1,1,$D76))</f>
        <v>0</v>
      </c>
    </row>
    <row r="77" customFormat="false" ht="15" hidden="false" customHeight="false" outlineLevel="0" collapsed="false">
      <c r="A77" s="31" t="n">
        <v>68</v>
      </c>
      <c r="B77" s="11"/>
      <c r="C77" s="11"/>
      <c r="D77" s="32"/>
      <c r="E77" s="33"/>
      <c r="F77" s="34"/>
      <c r="G77" s="35" t="str">
        <f aca="false">IF($AB77="","",IF(INDEX(Lib_Basis,$AB77)="Piece","pcs","cm"))</f>
        <v/>
      </c>
      <c r="H77" s="36" t="n">
        <f aca="false">IF(OR($AB77="",$AC77="",N($AC77)&lt;1,N($AC77)&gt;24),0,IF($AE77=0,INDEX(Engine_Grid,(WeightIdx-1)*75+$AB77,$AD77),IF(OR($AD77&gt;=24,INDEX(Engine_Grid,(WeightIdx-1)*75+$AB77,$AD77)=0,INDEX(Engine_Grid,(WeightIdx-1)*75+$AB77,$AD77+1)=0),0,INDEX(Engine_Grid,(WeightIdx-1)*75+$AB77,$AD77)*(1-$AE77)+INDEX(Engine_Grid,(WeightIdx-1)*75+$AB77,$AD77+1)*$AE77)))</f>
        <v>0</v>
      </c>
      <c r="I77" s="37" t="n">
        <f aca="false">IF(OR($H77=0,N($F77)&lt;=0),0,$F77/100*$H77*IF(N($D77)&lt;1,1,$D77))</f>
        <v>0</v>
      </c>
      <c r="J77" s="38" t="str">
        <f aca="false">IF($AB77="","",INDEX(Lib_Needle,$AB77))</f>
        <v/>
      </c>
      <c r="K77" s="38" t="str">
        <f aca="false">IF($AB77="","",INDEX(Lib_Bobbin,$AB77))</f>
        <v/>
      </c>
      <c r="L77" s="38" t="str">
        <f aca="false">IF($AB77="","",INDEX(Lib_Looper,$AB77))</f>
        <v/>
      </c>
      <c r="M77" s="38" t="str">
        <f aca="false">IF($AB77="","",INDEX(Lib_Cover,$AB77))</f>
        <v/>
      </c>
      <c r="N77" s="11"/>
      <c r="O77" s="39" t="n">
        <f aca="false">IF($I77=0,0,IF($AF77="Y",$I77*$J77/IF(N($D77)&lt;1,1,$D77),$I77*$J77))</f>
        <v>0</v>
      </c>
      <c r="P77" s="11"/>
      <c r="Q77" s="39" t="n">
        <f aca="false">IF(AND($I77&gt;0,$AF77="Y",IF(N($D77)&lt;1,1,$D77)&gt;=2),$I77*$J77/IF(N($D77)&lt;1,1,$D77),0)</f>
        <v>0</v>
      </c>
      <c r="R77" s="11"/>
      <c r="S77" s="39" t="n">
        <f aca="false">IF(AND($I77&gt;0,$AF77="Y",IF(N($D77)&lt;1,1,$D77)&gt;=3),$I77*$J77/IF(N($D77)&lt;1,1,$D77),0)</f>
        <v>0</v>
      </c>
      <c r="T77" s="11"/>
      <c r="U77" s="39" t="n">
        <f aca="false">IF($I77=0,0,$I77*$K77)</f>
        <v>0</v>
      </c>
      <c r="V77" s="11"/>
      <c r="W77" s="39" t="n">
        <f aca="false">IF($I77=0,0,$I77*$L77)</f>
        <v>0</v>
      </c>
      <c r="X77" s="11"/>
      <c r="Y77" s="39" t="n">
        <f aca="false">IF($I77=0,0,$I77*$M77)</f>
        <v>0</v>
      </c>
      <c r="Z77" s="39" t="n">
        <f aca="false">IF($N77="",$O77,0)+IF($P77="",$Q77,0)+IF($R77="",$S77,0)+IF($T77="",$U77,0)+IF($V77="",$W77,0)+IF($X77="",$Y77,0)+IF(AND($AF77="Y",IF(N($D77)&lt;1,1,$D77)&gt;3),$I77*$J77*(IF(N($D77)&lt;1,1,$D77)-3)/IF(N($D77)&lt;1,1,$D77),0)</f>
        <v>0</v>
      </c>
      <c r="AA77" s="40" t="str">
        <f aca="false">IF(AND($C77="",N($F77)=0),"",IF($C77="","⚠ Select a stitch type",IF($AB77="","⚠ Stitch not in library",IF(N($F77)&lt;=0,"⚠ Enter "&amp;IF($G77="pcs","quantity","seam length (cm)"),IF(AND($G77="cm",N($E77)&lt;=0),"⚠ Enter SPI",IF($H77=0,"⚠ No factor at SPI "&amp;$E77&amp;" – valid "&amp;INDEX(Lib_MinSPI,$AB77)&amp;"–"&amp;INDEX(Lib_MaxSPI,$AB77),IF(AND($AF77="Y",IF(N($D77)&lt;1,1,$D77)&gt;3),"⚠ More than 3 rows – thread for extra rows not allocated",IF($Z77&gt;0.00001,"⚠ Assign threads ("&amp;TEXT($Z77,"0.00")&amp;" m unassigned)","✔ OK"))))))))</f>
        <v/>
      </c>
      <c r="AB77" s="16" t="str">
        <f aca="false">IF($C77="","",IFERROR(MATCH($C77,Lib_Names,0),""))</f>
        <v/>
      </c>
      <c r="AC77" s="41" t="str">
        <f aca="false">IF($AB77="","",IF(INDEX(Lib_Basis,$AB77)="Piece",1,N($E77)))</f>
        <v/>
      </c>
      <c r="AD77" s="16" t="str">
        <f aca="false">IF($AC77="","",INT($AC77))</f>
        <v/>
      </c>
      <c r="AE77" s="17" t="str">
        <f aca="false">IF($AC77="","",$AC77-$AD77)</f>
        <v/>
      </c>
      <c r="AF77" s="35" t="str">
        <f aca="false">IF($AB77="","",INDEX(Lib_Multi,$AB77))</f>
        <v/>
      </c>
      <c r="AG77" s="42" t="str">
        <f aca="false">IF($AB77="","",INDEX(Lib_Cat,$AB77))</f>
        <v/>
      </c>
      <c r="AH77" s="39" t="n">
        <f aca="false">IF(N($F77)&lt;=0,0,$F77/100*IF(OR($AB77="",$AC77="",N($AC77)&lt;1,N($AC77)&gt;24),0,IF($AE77=0,INDEX(Engine_Grid,0+$AB77,$AD77),IF(OR($AD77&gt;=24,INDEX(Engine_Grid,0+$AB77,$AD77)=0,INDEX(Engine_Grid,0+$AB77,$AD77+1)=0),0,INDEX(Engine_Grid,0+$AB77,$AD77)*(1-$AE77)+INDEX(Engine_Grid,0+$AB77,$AD77+1)*$AE77)))*IF(N($D77)&lt;1,1,$D77))</f>
        <v>0</v>
      </c>
      <c r="AI77" s="39" t="n">
        <f aca="false">IF(N($F77)&lt;=0,0,$F77/100*IF(OR($AB77="",$AC77="",N($AC77)&lt;1,N($AC77)&gt;24),0,IF($AE77=0,INDEX(Engine_Grid,75+$AB77,$AD77),IF(OR($AD77&gt;=24,INDEX(Engine_Grid,75+$AB77,$AD77)=0,INDEX(Engine_Grid,75+$AB77,$AD77+1)=0),0,INDEX(Engine_Grid,75+$AB77,$AD77)*(1-$AE77)+INDEX(Engine_Grid,75+$AB77,$AD77+1)*$AE77)))*IF(N($D77)&lt;1,1,$D77))</f>
        <v>0</v>
      </c>
      <c r="AJ77" s="39" t="n">
        <f aca="false">IF(N($F77)&lt;=0,0,$F77/100*IF(OR($AB77="",$AC77="",N($AC77)&lt;1,N($AC77)&gt;24),0,IF($AE77=0,INDEX(Engine_Grid,150+$AB77,$AD77),IF(OR($AD77&gt;=24,INDEX(Engine_Grid,150+$AB77,$AD77)=0,INDEX(Engine_Grid,150+$AB77,$AD77+1)=0),0,INDEX(Engine_Grid,150+$AB77,$AD77)*(1-$AE77)+INDEX(Engine_Grid,150+$AB77,$AD77+1)*$AE77)))*IF(N($D77)&lt;1,1,$D77))</f>
        <v>0</v>
      </c>
      <c r="AK77" s="39" t="n">
        <f aca="false">IF(N($F77)&lt;=0,0,$F77/100*IF(OR($AB77="",$AC77="",N($AC77)&lt;1,N($AC77)&gt;24),0,IF($AE77=0,INDEX(Engine_Grid,225+$AB77,$AD77),IF(OR($AD77&gt;=24,INDEX(Engine_Grid,225+$AB77,$AD77)=0,INDEX(Engine_Grid,225+$AB77,$AD77+1)=0),0,INDEX(Engine_Grid,225+$AB77,$AD77)*(1-$AE77)+INDEX(Engine_Grid,225+$AB77,$AD77+1)*$AE77)))*IF(N($D77)&lt;1,1,$D77))</f>
        <v>0</v>
      </c>
    </row>
    <row r="78" customFormat="false" ht="15" hidden="false" customHeight="false" outlineLevel="0" collapsed="false">
      <c r="A78" s="31" t="n">
        <v>69</v>
      </c>
      <c r="B78" s="11"/>
      <c r="C78" s="11"/>
      <c r="D78" s="32"/>
      <c r="E78" s="33"/>
      <c r="F78" s="34"/>
      <c r="G78" s="35" t="str">
        <f aca="false">IF($AB78="","",IF(INDEX(Lib_Basis,$AB78)="Piece","pcs","cm"))</f>
        <v/>
      </c>
      <c r="H78" s="36" t="n">
        <f aca="false">IF(OR($AB78="",$AC78="",N($AC78)&lt;1,N($AC78)&gt;24),0,IF($AE78=0,INDEX(Engine_Grid,(WeightIdx-1)*75+$AB78,$AD78),IF(OR($AD78&gt;=24,INDEX(Engine_Grid,(WeightIdx-1)*75+$AB78,$AD78)=0,INDEX(Engine_Grid,(WeightIdx-1)*75+$AB78,$AD78+1)=0),0,INDEX(Engine_Grid,(WeightIdx-1)*75+$AB78,$AD78)*(1-$AE78)+INDEX(Engine_Grid,(WeightIdx-1)*75+$AB78,$AD78+1)*$AE78)))</f>
        <v>0</v>
      </c>
      <c r="I78" s="37" t="n">
        <f aca="false">IF(OR($H78=0,N($F78)&lt;=0),0,$F78/100*$H78*IF(N($D78)&lt;1,1,$D78))</f>
        <v>0</v>
      </c>
      <c r="J78" s="38" t="str">
        <f aca="false">IF($AB78="","",INDEX(Lib_Needle,$AB78))</f>
        <v/>
      </c>
      <c r="K78" s="38" t="str">
        <f aca="false">IF($AB78="","",INDEX(Lib_Bobbin,$AB78))</f>
        <v/>
      </c>
      <c r="L78" s="38" t="str">
        <f aca="false">IF($AB78="","",INDEX(Lib_Looper,$AB78))</f>
        <v/>
      </c>
      <c r="M78" s="38" t="str">
        <f aca="false">IF($AB78="","",INDEX(Lib_Cover,$AB78))</f>
        <v/>
      </c>
      <c r="N78" s="11"/>
      <c r="O78" s="39" t="n">
        <f aca="false">IF($I78=0,0,IF($AF78="Y",$I78*$J78/IF(N($D78)&lt;1,1,$D78),$I78*$J78))</f>
        <v>0</v>
      </c>
      <c r="P78" s="11"/>
      <c r="Q78" s="39" t="n">
        <f aca="false">IF(AND($I78&gt;0,$AF78="Y",IF(N($D78)&lt;1,1,$D78)&gt;=2),$I78*$J78/IF(N($D78)&lt;1,1,$D78),0)</f>
        <v>0</v>
      </c>
      <c r="R78" s="11"/>
      <c r="S78" s="39" t="n">
        <f aca="false">IF(AND($I78&gt;0,$AF78="Y",IF(N($D78)&lt;1,1,$D78)&gt;=3),$I78*$J78/IF(N($D78)&lt;1,1,$D78),0)</f>
        <v>0</v>
      </c>
      <c r="T78" s="11"/>
      <c r="U78" s="39" t="n">
        <f aca="false">IF($I78=0,0,$I78*$K78)</f>
        <v>0</v>
      </c>
      <c r="V78" s="11"/>
      <c r="W78" s="39" t="n">
        <f aca="false">IF($I78=0,0,$I78*$L78)</f>
        <v>0</v>
      </c>
      <c r="X78" s="11"/>
      <c r="Y78" s="39" t="n">
        <f aca="false">IF($I78=0,0,$I78*$M78)</f>
        <v>0</v>
      </c>
      <c r="Z78" s="39" t="n">
        <f aca="false">IF($N78="",$O78,0)+IF($P78="",$Q78,0)+IF($R78="",$S78,0)+IF($T78="",$U78,0)+IF($V78="",$W78,0)+IF($X78="",$Y78,0)+IF(AND($AF78="Y",IF(N($D78)&lt;1,1,$D78)&gt;3),$I78*$J78*(IF(N($D78)&lt;1,1,$D78)-3)/IF(N($D78)&lt;1,1,$D78),0)</f>
        <v>0</v>
      </c>
      <c r="AA78" s="40" t="str">
        <f aca="false">IF(AND($C78="",N($F78)=0),"",IF($C78="","⚠ Select a stitch type",IF($AB78="","⚠ Stitch not in library",IF(N($F78)&lt;=0,"⚠ Enter "&amp;IF($G78="pcs","quantity","seam length (cm)"),IF(AND($G78="cm",N($E78)&lt;=0),"⚠ Enter SPI",IF($H78=0,"⚠ No factor at SPI "&amp;$E78&amp;" – valid "&amp;INDEX(Lib_MinSPI,$AB78)&amp;"–"&amp;INDEX(Lib_MaxSPI,$AB78),IF(AND($AF78="Y",IF(N($D78)&lt;1,1,$D78)&gt;3),"⚠ More than 3 rows – thread for extra rows not allocated",IF($Z78&gt;0.00001,"⚠ Assign threads ("&amp;TEXT($Z78,"0.00")&amp;" m unassigned)","✔ OK"))))))))</f>
        <v/>
      </c>
      <c r="AB78" s="16" t="str">
        <f aca="false">IF($C78="","",IFERROR(MATCH($C78,Lib_Names,0),""))</f>
        <v/>
      </c>
      <c r="AC78" s="41" t="str">
        <f aca="false">IF($AB78="","",IF(INDEX(Lib_Basis,$AB78)="Piece",1,N($E78)))</f>
        <v/>
      </c>
      <c r="AD78" s="16" t="str">
        <f aca="false">IF($AC78="","",INT($AC78))</f>
        <v/>
      </c>
      <c r="AE78" s="17" t="str">
        <f aca="false">IF($AC78="","",$AC78-$AD78)</f>
        <v/>
      </c>
      <c r="AF78" s="35" t="str">
        <f aca="false">IF($AB78="","",INDEX(Lib_Multi,$AB78))</f>
        <v/>
      </c>
      <c r="AG78" s="42" t="str">
        <f aca="false">IF($AB78="","",INDEX(Lib_Cat,$AB78))</f>
        <v/>
      </c>
      <c r="AH78" s="39" t="n">
        <f aca="false">IF(N($F78)&lt;=0,0,$F78/100*IF(OR($AB78="",$AC78="",N($AC78)&lt;1,N($AC78)&gt;24),0,IF($AE78=0,INDEX(Engine_Grid,0+$AB78,$AD78),IF(OR($AD78&gt;=24,INDEX(Engine_Grid,0+$AB78,$AD78)=0,INDEX(Engine_Grid,0+$AB78,$AD78+1)=0),0,INDEX(Engine_Grid,0+$AB78,$AD78)*(1-$AE78)+INDEX(Engine_Grid,0+$AB78,$AD78+1)*$AE78)))*IF(N($D78)&lt;1,1,$D78))</f>
        <v>0</v>
      </c>
      <c r="AI78" s="39" t="n">
        <f aca="false">IF(N($F78)&lt;=0,0,$F78/100*IF(OR($AB78="",$AC78="",N($AC78)&lt;1,N($AC78)&gt;24),0,IF($AE78=0,INDEX(Engine_Grid,75+$AB78,$AD78),IF(OR($AD78&gt;=24,INDEX(Engine_Grid,75+$AB78,$AD78)=0,INDEX(Engine_Grid,75+$AB78,$AD78+1)=0),0,INDEX(Engine_Grid,75+$AB78,$AD78)*(1-$AE78)+INDEX(Engine_Grid,75+$AB78,$AD78+1)*$AE78)))*IF(N($D78)&lt;1,1,$D78))</f>
        <v>0</v>
      </c>
      <c r="AJ78" s="39" t="n">
        <f aca="false">IF(N($F78)&lt;=0,0,$F78/100*IF(OR($AB78="",$AC78="",N($AC78)&lt;1,N($AC78)&gt;24),0,IF($AE78=0,INDEX(Engine_Grid,150+$AB78,$AD78),IF(OR($AD78&gt;=24,INDEX(Engine_Grid,150+$AB78,$AD78)=0,INDEX(Engine_Grid,150+$AB78,$AD78+1)=0),0,INDEX(Engine_Grid,150+$AB78,$AD78)*(1-$AE78)+INDEX(Engine_Grid,150+$AB78,$AD78+1)*$AE78)))*IF(N($D78)&lt;1,1,$D78))</f>
        <v>0</v>
      </c>
      <c r="AK78" s="39" t="n">
        <f aca="false">IF(N($F78)&lt;=0,0,$F78/100*IF(OR($AB78="",$AC78="",N($AC78)&lt;1,N($AC78)&gt;24),0,IF($AE78=0,INDEX(Engine_Grid,225+$AB78,$AD78),IF(OR($AD78&gt;=24,INDEX(Engine_Grid,225+$AB78,$AD78)=0,INDEX(Engine_Grid,225+$AB78,$AD78+1)=0),0,INDEX(Engine_Grid,225+$AB78,$AD78)*(1-$AE78)+INDEX(Engine_Grid,225+$AB78,$AD78+1)*$AE78)))*IF(N($D78)&lt;1,1,$D78))</f>
        <v>0</v>
      </c>
    </row>
    <row r="79" customFormat="false" ht="15" hidden="false" customHeight="false" outlineLevel="0" collapsed="false">
      <c r="A79" s="31" t="n">
        <v>70</v>
      </c>
      <c r="B79" s="11"/>
      <c r="C79" s="11"/>
      <c r="D79" s="32"/>
      <c r="E79" s="33"/>
      <c r="F79" s="34"/>
      <c r="G79" s="35" t="str">
        <f aca="false">IF($AB79="","",IF(INDEX(Lib_Basis,$AB79)="Piece","pcs","cm"))</f>
        <v/>
      </c>
      <c r="H79" s="36" t="n">
        <f aca="false">IF(OR($AB79="",$AC79="",N($AC79)&lt;1,N($AC79)&gt;24),0,IF($AE79=0,INDEX(Engine_Grid,(WeightIdx-1)*75+$AB79,$AD79),IF(OR($AD79&gt;=24,INDEX(Engine_Grid,(WeightIdx-1)*75+$AB79,$AD79)=0,INDEX(Engine_Grid,(WeightIdx-1)*75+$AB79,$AD79+1)=0),0,INDEX(Engine_Grid,(WeightIdx-1)*75+$AB79,$AD79)*(1-$AE79)+INDEX(Engine_Grid,(WeightIdx-1)*75+$AB79,$AD79+1)*$AE79)))</f>
        <v>0</v>
      </c>
      <c r="I79" s="37" t="n">
        <f aca="false">IF(OR($H79=0,N($F79)&lt;=0),0,$F79/100*$H79*IF(N($D79)&lt;1,1,$D79))</f>
        <v>0</v>
      </c>
      <c r="J79" s="38" t="str">
        <f aca="false">IF($AB79="","",INDEX(Lib_Needle,$AB79))</f>
        <v/>
      </c>
      <c r="K79" s="38" t="str">
        <f aca="false">IF($AB79="","",INDEX(Lib_Bobbin,$AB79))</f>
        <v/>
      </c>
      <c r="L79" s="38" t="str">
        <f aca="false">IF($AB79="","",INDEX(Lib_Looper,$AB79))</f>
        <v/>
      </c>
      <c r="M79" s="38" t="str">
        <f aca="false">IF($AB79="","",INDEX(Lib_Cover,$AB79))</f>
        <v/>
      </c>
      <c r="N79" s="11"/>
      <c r="O79" s="39" t="n">
        <f aca="false">IF($I79=0,0,IF($AF79="Y",$I79*$J79/IF(N($D79)&lt;1,1,$D79),$I79*$J79))</f>
        <v>0</v>
      </c>
      <c r="P79" s="11"/>
      <c r="Q79" s="39" t="n">
        <f aca="false">IF(AND($I79&gt;0,$AF79="Y",IF(N($D79)&lt;1,1,$D79)&gt;=2),$I79*$J79/IF(N($D79)&lt;1,1,$D79),0)</f>
        <v>0</v>
      </c>
      <c r="R79" s="11"/>
      <c r="S79" s="39" t="n">
        <f aca="false">IF(AND($I79&gt;0,$AF79="Y",IF(N($D79)&lt;1,1,$D79)&gt;=3),$I79*$J79/IF(N($D79)&lt;1,1,$D79),0)</f>
        <v>0</v>
      </c>
      <c r="T79" s="11"/>
      <c r="U79" s="39" t="n">
        <f aca="false">IF($I79=0,0,$I79*$K79)</f>
        <v>0</v>
      </c>
      <c r="V79" s="11"/>
      <c r="W79" s="39" t="n">
        <f aca="false">IF($I79=0,0,$I79*$L79)</f>
        <v>0</v>
      </c>
      <c r="X79" s="11"/>
      <c r="Y79" s="39" t="n">
        <f aca="false">IF($I79=0,0,$I79*$M79)</f>
        <v>0</v>
      </c>
      <c r="Z79" s="39" t="n">
        <f aca="false">IF($N79="",$O79,0)+IF($P79="",$Q79,0)+IF($R79="",$S79,0)+IF($T79="",$U79,0)+IF($V79="",$W79,0)+IF($X79="",$Y79,0)+IF(AND($AF79="Y",IF(N($D79)&lt;1,1,$D79)&gt;3),$I79*$J79*(IF(N($D79)&lt;1,1,$D79)-3)/IF(N($D79)&lt;1,1,$D79),0)</f>
        <v>0</v>
      </c>
      <c r="AA79" s="40" t="str">
        <f aca="false">IF(AND($C79="",N($F79)=0),"",IF($C79="","⚠ Select a stitch type",IF($AB79="","⚠ Stitch not in library",IF(N($F79)&lt;=0,"⚠ Enter "&amp;IF($G79="pcs","quantity","seam length (cm)"),IF(AND($G79="cm",N($E79)&lt;=0),"⚠ Enter SPI",IF($H79=0,"⚠ No factor at SPI "&amp;$E79&amp;" – valid "&amp;INDEX(Lib_MinSPI,$AB79)&amp;"–"&amp;INDEX(Lib_MaxSPI,$AB79),IF(AND($AF79="Y",IF(N($D79)&lt;1,1,$D79)&gt;3),"⚠ More than 3 rows – thread for extra rows not allocated",IF($Z79&gt;0.00001,"⚠ Assign threads ("&amp;TEXT($Z79,"0.00")&amp;" m unassigned)","✔ OK"))))))))</f>
        <v/>
      </c>
      <c r="AB79" s="16" t="str">
        <f aca="false">IF($C79="","",IFERROR(MATCH($C79,Lib_Names,0),""))</f>
        <v/>
      </c>
      <c r="AC79" s="41" t="str">
        <f aca="false">IF($AB79="","",IF(INDEX(Lib_Basis,$AB79)="Piece",1,N($E79)))</f>
        <v/>
      </c>
      <c r="AD79" s="16" t="str">
        <f aca="false">IF($AC79="","",INT($AC79))</f>
        <v/>
      </c>
      <c r="AE79" s="17" t="str">
        <f aca="false">IF($AC79="","",$AC79-$AD79)</f>
        <v/>
      </c>
      <c r="AF79" s="35" t="str">
        <f aca="false">IF($AB79="","",INDEX(Lib_Multi,$AB79))</f>
        <v/>
      </c>
      <c r="AG79" s="42" t="str">
        <f aca="false">IF($AB79="","",INDEX(Lib_Cat,$AB79))</f>
        <v/>
      </c>
      <c r="AH79" s="39" t="n">
        <f aca="false">IF(N($F79)&lt;=0,0,$F79/100*IF(OR($AB79="",$AC79="",N($AC79)&lt;1,N($AC79)&gt;24),0,IF($AE79=0,INDEX(Engine_Grid,0+$AB79,$AD79),IF(OR($AD79&gt;=24,INDEX(Engine_Grid,0+$AB79,$AD79)=0,INDEX(Engine_Grid,0+$AB79,$AD79+1)=0),0,INDEX(Engine_Grid,0+$AB79,$AD79)*(1-$AE79)+INDEX(Engine_Grid,0+$AB79,$AD79+1)*$AE79)))*IF(N($D79)&lt;1,1,$D79))</f>
        <v>0</v>
      </c>
      <c r="AI79" s="39" t="n">
        <f aca="false">IF(N($F79)&lt;=0,0,$F79/100*IF(OR($AB79="",$AC79="",N($AC79)&lt;1,N($AC79)&gt;24),0,IF($AE79=0,INDEX(Engine_Grid,75+$AB79,$AD79),IF(OR($AD79&gt;=24,INDEX(Engine_Grid,75+$AB79,$AD79)=0,INDEX(Engine_Grid,75+$AB79,$AD79+1)=0),0,INDEX(Engine_Grid,75+$AB79,$AD79)*(1-$AE79)+INDEX(Engine_Grid,75+$AB79,$AD79+1)*$AE79)))*IF(N($D79)&lt;1,1,$D79))</f>
        <v>0</v>
      </c>
      <c r="AJ79" s="39" t="n">
        <f aca="false">IF(N($F79)&lt;=0,0,$F79/100*IF(OR($AB79="",$AC79="",N($AC79)&lt;1,N($AC79)&gt;24),0,IF($AE79=0,INDEX(Engine_Grid,150+$AB79,$AD79),IF(OR($AD79&gt;=24,INDEX(Engine_Grid,150+$AB79,$AD79)=0,INDEX(Engine_Grid,150+$AB79,$AD79+1)=0),0,INDEX(Engine_Grid,150+$AB79,$AD79)*(1-$AE79)+INDEX(Engine_Grid,150+$AB79,$AD79+1)*$AE79)))*IF(N($D79)&lt;1,1,$D79))</f>
        <v>0</v>
      </c>
      <c r="AK79" s="39" t="n">
        <f aca="false">IF(N($F79)&lt;=0,0,$F79/100*IF(OR($AB79="",$AC79="",N($AC79)&lt;1,N($AC79)&gt;24),0,IF($AE79=0,INDEX(Engine_Grid,225+$AB79,$AD79),IF(OR($AD79&gt;=24,INDEX(Engine_Grid,225+$AB79,$AD79)=0,INDEX(Engine_Grid,225+$AB79,$AD79+1)=0),0,INDEX(Engine_Grid,225+$AB79,$AD79)*(1-$AE79)+INDEX(Engine_Grid,225+$AB79,$AD79+1)*$AE79)))*IF(N($D79)&lt;1,1,$D79))</f>
        <v>0</v>
      </c>
    </row>
    <row r="80" customFormat="false" ht="15" hidden="false" customHeight="false" outlineLevel="0" collapsed="false">
      <c r="A80" s="31" t="n">
        <v>71</v>
      </c>
      <c r="B80" s="11"/>
      <c r="C80" s="11"/>
      <c r="D80" s="32"/>
      <c r="E80" s="33"/>
      <c r="F80" s="34"/>
      <c r="G80" s="35" t="str">
        <f aca="false">IF($AB80="","",IF(INDEX(Lib_Basis,$AB80)="Piece","pcs","cm"))</f>
        <v/>
      </c>
      <c r="H80" s="36" t="n">
        <f aca="false">IF(OR($AB80="",$AC80="",N($AC80)&lt;1,N($AC80)&gt;24),0,IF($AE80=0,INDEX(Engine_Grid,(WeightIdx-1)*75+$AB80,$AD80),IF(OR($AD80&gt;=24,INDEX(Engine_Grid,(WeightIdx-1)*75+$AB80,$AD80)=0,INDEX(Engine_Grid,(WeightIdx-1)*75+$AB80,$AD80+1)=0),0,INDEX(Engine_Grid,(WeightIdx-1)*75+$AB80,$AD80)*(1-$AE80)+INDEX(Engine_Grid,(WeightIdx-1)*75+$AB80,$AD80+1)*$AE80)))</f>
        <v>0</v>
      </c>
      <c r="I80" s="37" t="n">
        <f aca="false">IF(OR($H80=0,N($F80)&lt;=0),0,$F80/100*$H80*IF(N($D80)&lt;1,1,$D80))</f>
        <v>0</v>
      </c>
      <c r="J80" s="38" t="str">
        <f aca="false">IF($AB80="","",INDEX(Lib_Needle,$AB80))</f>
        <v/>
      </c>
      <c r="K80" s="38" t="str">
        <f aca="false">IF($AB80="","",INDEX(Lib_Bobbin,$AB80))</f>
        <v/>
      </c>
      <c r="L80" s="38" t="str">
        <f aca="false">IF($AB80="","",INDEX(Lib_Looper,$AB80))</f>
        <v/>
      </c>
      <c r="M80" s="38" t="str">
        <f aca="false">IF($AB80="","",INDEX(Lib_Cover,$AB80))</f>
        <v/>
      </c>
      <c r="N80" s="11"/>
      <c r="O80" s="39" t="n">
        <f aca="false">IF($I80=0,0,IF($AF80="Y",$I80*$J80/IF(N($D80)&lt;1,1,$D80),$I80*$J80))</f>
        <v>0</v>
      </c>
      <c r="P80" s="11"/>
      <c r="Q80" s="39" t="n">
        <f aca="false">IF(AND($I80&gt;0,$AF80="Y",IF(N($D80)&lt;1,1,$D80)&gt;=2),$I80*$J80/IF(N($D80)&lt;1,1,$D80),0)</f>
        <v>0</v>
      </c>
      <c r="R80" s="11"/>
      <c r="S80" s="39" t="n">
        <f aca="false">IF(AND($I80&gt;0,$AF80="Y",IF(N($D80)&lt;1,1,$D80)&gt;=3),$I80*$J80/IF(N($D80)&lt;1,1,$D80),0)</f>
        <v>0</v>
      </c>
      <c r="T80" s="11"/>
      <c r="U80" s="39" t="n">
        <f aca="false">IF($I80=0,0,$I80*$K80)</f>
        <v>0</v>
      </c>
      <c r="V80" s="11"/>
      <c r="W80" s="39" t="n">
        <f aca="false">IF($I80=0,0,$I80*$L80)</f>
        <v>0</v>
      </c>
      <c r="X80" s="11"/>
      <c r="Y80" s="39" t="n">
        <f aca="false">IF($I80=0,0,$I80*$M80)</f>
        <v>0</v>
      </c>
      <c r="Z80" s="39" t="n">
        <f aca="false">IF($N80="",$O80,0)+IF($P80="",$Q80,0)+IF($R80="",$S80,0)+IF($T80="",$U80,0)+IF($V80="",$W80,0)+IF($X80="",$Y80,0)+IF(AND($AF80="Y",IF(N($D80)&lt;1,1,$D80)&gt;3),$I80*$J80*(IF(N($D80)&lt;1,1,$D80)-3)/IF(N($D80)&lt;1,1,$D80),0)</f>
        <v>0</v>
      </c>
      <c r="AA80" s="40" t="str">
        <f aca="false">IF(AND($C80="",N($F80)=0),"",IF($C80="","⚠ Select a stitch type",IF($AB80="","⚠ Stitch not in library",IF(N($F80)&lt;=0,"⚠ Enter "&amp;IF($G80="pcs","quantity","seam length (cm)"),IF(AND($G80="cm",N($E80)&lt;=0),"⚠ Enter SPI",IF($H80=0,"⚠ No factor at SPI "&amp;$E80&amp;" – valid "&amp;INDEX(Lib_MinSPI,$AB80)&amp;"–"&amp;INDEX(Lib_MaxSPI,$AB80),IF(AND($AF80="Y",IF(N($D80)&lt;1,1,$D80)&gt;3),"⚠ More than 3 rows – thread for extra rows not allocated",IF($Z80&gt;0.00001,"⚠ Assign threads ("&amp;TEXT($Z80,"0.00")&amp;" m unassigned)","✔ OK"))))))))</f>
        <v/>
      </c>
      <c r="AB80" s="16" t="str">
        <f aca="false">IF($C80="","",IFERROR(MATCH($C80,Lib_Names,0),""))</f>
        <v/>
      </c>
      <c r="AC80" s="41" t="str">
        <f aca="false">IF($AB80="","",IF(INDEX(Lib_Basis,$AB80)="Piece",1,N($E80)))</f>
        <v/>
      </c>
      <c r="AD80" s="16" t="str">
        <f aca="false">IF($AC80="","",INT($AC80))</f>
        <v/>
      </c>
      <c r="AE80" s="17" t="str">
        <f aca="false">IF($AC80="","",$AC80-$AD80)</f>
        <v/>
      </c>
      <c r="AF80" s="35" t="str">
        <f aca="false">IF($AB80="","",INDEX(Lib_Multi,$AB80))</f>
        <v/>
      </c>
      <c r="AG80" s="42" t="str">
        <f aca="false">IF($AB80="","",INDEX(Lib_Cat,$AB80))</f>
        <v/>
      </c>
      <c r="AH80" s="39" t="n">
        <f aca="false">IF(N($F80)&lt;=0,0,$F80/100*IF(OR($AB80="",$AC80="",N($AC80)&lt;1,N($AC80)&gt;24),0,IF($AE80=0,INDEX(Engine_Grid,0+$AB80,$AD80),IF(OR($AD80&gt;=24,INDEX(Engine_Grid,0+$AB80,$AD80)=0,INDEX(Engine_Grid,0+$AB80,$AD80+1)=0),0,INDEX(Engine_Grid,0+$AB80,$AD80)*(1-$AE80)+INDEX(Engine_Grid,0+$AB80,$AD80+1)*$AE80)))*IF(N($D80)&lt;1,1,$D80))</f>
        <v>0</v>
      </c>
      <c r="AI80" s="39" t="n">
        <f aca="false">IF(N($F80)&lt;=0,0,$F80/100*IF(OR($AB80="",$AC80="",N($AC80)&lt;1,N($AC80)&gt;24),0,IF($AE80=0,INDEX(Engine_Grid,75+$AB80,$AD80),IF(OR($AD80&gt;=24,INDEX(Engine_Grid,75+$AB80,$AD80)=0,INDEX(Engine_Grid,75+$AB80,$AD80+1)=0),0,INDEX(Engine_Grid,75+$AB80,$AD80)*(1-$AE80)+INDEX(Engine_Grid,75+$AB80,$AD80+1)*$AE80)))*IF(N($D80)&lt;1,1,$D80))</f>
        <v>0</v>
      </c>
      <c r="AJ80" s="39" t="n">
        <f aca="false">IF(N($F80)&lt;=0,0,$F80/100*IF(OR($AB80="",$AC80="",N($AC80)&lt;1,N($AC80)&gt;24),0,IF($AE80=0,INDEX(Engine_Grid,150+$AB80,$AD80),IF(OR($AD80&gt;=24,INDEX(Engine_Grid,150+$AB80,$AD80)=0,INDEX(Engine_Grid,150+$AB80,$AD80+1)=0),0,INDEX(Engine_Grid,150+$AB80,$AD80)*(1-$AE80)+INDEX(Engine_Grid,150+$AB80,$AD80+1)*$AE80)))*IF(N($D80)&lt;1,1,$D80))</f>
        <v>0</v>
      </c>
      <c r="AK80" s="39" t="n">
        <f aca="false">IF(N($F80)&lt;=0,0,$F80/100*IF(OR($AB80="",$AC80="",N($AC80)&lt;1,N($AC80)&gt;24),0,IF($AE80=0,INDEX(Engine_Grid,225+$AB80,$AD80),IF(OR($AD80&gt;=24,INDEX(Engine_Grid,225+$AB80,$AD80)=0,INDEX(Engine_Grid,225+$AB80,$AD80+1)=0),0,INDEX(Engine_Grid,225+$AB80,$AD80)*(1-$AE80)+INDEX(Engine_Grid,225+$AB80,$AD80+1)*$AE80)))*IF(N($D80)&lt;1,1,$D80))</f>
        <v>0</v>
      </c>
    </row>
    <row r="81" customFormat="false" ht="15" hidden="false" customHeight="false" outlineLevel="0" collapsed="false">
      <c r="A81" s="31" t="n">
        <v>72</v>
      </c>
      <c r="B81" s="11"/>
      <c r="C81" s="11"/>
      <c r="D81" s="32"/>
      <c r="E81" s="33"/>
      <c r="F81" s="34"/>
      <c r="G81" s="35" t="str">
        <f aca="false">IF($AB81="","",IF(INDEX(Lib_Basis,$AB81)="Piece","pcs","cm"))</f>
        <v/>
      </c>
      <c r="H81" s="36" t="n">
        <f aca="false">IF(OR($AB81="",$AC81="",N($AC81)&lt;1,N($AC81)&gt;24),0,IF($AE81=0,INDEX(Engine_Grid,(WeightIdx-1)*75+$AB81,$AD81),IF(OR($AD81&gt;=24,INDEX(Engine_Grid,(WeightIdx-1)*75+$AB81,$AD81)=0,INDEX(Engine_Grid,(WeightIdx-1)*75+$AB81,$AD81+1)=0),0,INDEX(Engine_Grid,(WeightIdx-1)*75+$AB81,$AD81)*(1-$AE81)+INDEX(Engine_Grid,(WeightIdx-1)*75+$AB81,$AD81+1)*$AE81)))</f>
        <v>0</v>
      </c>
      <c r="I81" s="37" t="n">
        <f aca="false">IF(OR($H81=0,N($F81)&lt;=0),0,$F81/100*$H81*IF(N($D81)&lt;1,1,$D81))</f>
        <v>0</v>
      </c>
      <c r="J81" s="38" t="str">
        <f aca="false">IF($AB81="","",INDEX(Lib_Needle,$AB81))</f>
        <v/>
      </c>
      <c r="K81" s="38" t="str">
        <f aca="false">IF($AB81="","",INDEX(Lib_Bobbin,$AB81))</f>
        <v/>
      </c>
      <c r="L81" s="38" t="str">
        <f aca="false">IF($AB81="","",INDEX(Lib_Looper,$AB81))</f>
        <v/>
      </c>
      <c r="M81" s="38" t="str">
        <f aca="false">IF($AB81="","",INDEX(Lib_Cover,$AB81))</f>
        <v/>
      </c>
      <c r="N81" s="11"/>
      <c r="O81" s="39" t="n">
        <f aca="false">IF($I81=0,0,IF($AF81="Y",$I81*$J81/IF(N($D81)&lt;1,1,$D81),$I81*$J81))</f>
        <v>0</v>
      </c>
      <c r="P81" s="11"/>
      <c r="Q81" s="39" t="n">
        <f aca="false">IF(AND($I81&gt;0,$AF81="Y",IF(N($D81)&lt;1,1,$D81)&gt;=2),$I81*$J81/IF(N($D81)&lt;1,1,$D81),0)</f>
        <v>0</v>
      </c>
      <c r="R81" s="11"/>
      <c r="S81" s="39" t="n">
        <f aca="false">IF(AND($I81&gt;0,$AF81="Y",IF(N($D81)&lt;1,1,$D81)&gt;=3),$I81*$J81/IF(N($D81)&lt;1,1,$D81),0)</f>
        <v>0</v>
      </c>
      <c r="T81" s="11"/>
      <c r="U81" s="39" t="n">
        <f aca="false">IF($I81=0,0,$I81*$K81)</f>
        <v>0</v>
      </c>
      <c r="V81" s="11"/>
      <c r="W81" s="39" t="n">
        <f aca="false">IF($I81=0,0,$I81*$L81)</f>
        <v>0</v>
      </c>
      <c r="X81" s="11"/>
      <c r="Y81" s="39" t="n">
        <f aca="false">IF($I81=0,0,$I81*$M81)</f>
        <v>0</v>
      </c>
      <c r="Z81" s="39" t="n">
        <f aca="false">IF($N81="",$O81,0)+IF($P81="",$Q81,0)+IF($R81="",$S81,0)+IF($T81="",$U81,0)+IF($V81="",$W81,0)+IF($X81="",$Y81,0)+IF(AND($AF81="Y",IF(N($D81)&lt;1,1,$D81)&gt;3),$I81*$J81*(IF(N($D81)&lt;1,1,$D81)-3)/IF(N($D81)&lt;1,1,$D81),0)</f>
        <v>0</v>
      </c>
      <c r="AA81" s="40" t="str">
        <f aca="false">IF(AND($C81="",N($F81)=0),"",IF($C81="","⚠ Select a stitch type",IF($AB81="","⚠ Stitch not in library",IF(N($F81)&lt;=0,"⚠ Enter "&amp;IF($G81="pcs","quantity","seam length (cm)"),IF(AND($G81="cm",N($E81)&lt;=0),"⚠ Enter SPI",IF($H81=0,"⚠ No factor at SPI "&amp;$E81&amp;" – valid "&amp;INDEX(Lib_MinSPI,$AB81)&amp;"–"&amp;INDEX(Lib_MaxSPI,$AB81),IF(AND($AF81="Y",IF(N($D81)&lt;1,1,$D81)&gt;3),"⚠ More than 3 rows – thread for extra rows not allocated",IF($Z81&gt;0.00001,"⚠ Assign threads ("&amp;TEXT($Z81,"0.00")&amp;" m unassigned)","✔ OK"))))))))</f>
        <v/>
      </c>
      <c r="AB81" s="16" t="str">
        <f aca="false">IF($C81="","",IFERROR(MATCH($C81,Lib_Names,0),""))</f>
        <v/>
      </c>
      <c r="AC81" s="41" t="str">
        <f aca="false">IF($AB81="","",IF(INDEX(Lib_Basis,$AB81)="Piece",1,N($E81)))</f>
        <v/>
      </c>
      <c r="AD81" s="16" t="str">
        <f aca="false">IF($AC81="","",INT($AC81))</f>
        <v/>
      </c>
      <c r="AE81" s="17" t="str">
        <f aca="false">IF($AC81="","",$AC81-$AD81)</f>
        <v/>
      </c>
      <c r="AF81" s="35" t="str">
        <f aca="false">IF($AB81="","",INDEX(Lib_Multi,$AB81))</f>
        <v/>
      </c>
      <c r="AG81" s="42" t="str">
        <f aca="false">IF($AB81="","",INDEX(Lib_Cat,$AB81))</f>
        <v/>
      </c>
      <c r="AH81" s="39" t="n">
        <f aca="false">IF(N($F81)&lt;=0,0,$F81/100*IF(OR($AB81="",$AC81="",N($AC81)&lt;1,N($AC81)&gt;24),0,IF($AE81=0,INDEX(Engine_Grid,0+$AB81,$AD81),IF(OR($AD81&gt;=24,INDEX(Engine_Grid,0+$AB81,$AD81)=0,INDEX(Engine_Grid,0+$AB81,$AD81+1)=0),0,INDEX(Engine_Grid,0+$AB81,$AD81)*(1-$AE81)+INDEX(Engine_Grid,0+$AB81,$AD81+1)*$AE81)))*IF(N($D81)&lt;1,1,$D81))</f>
        <v>0</v>
      </c>
      <c r="AI81" s="39" t="n">
        <f aca="false">IF(N($F81)&lt;=0,0,$F81/100*IF(OR($AB81="",$AC81="",N($AC81)&lt;1,N($AC81)&gt;24),0,IF($AE81=0,INDEX(Engine_Grid,75+$AB81,$AD81),IF(OR($AD81&gt;=24,INDEX(Engine_Grid,75+$AB81,$AD81)=0,INDEX(Engine_Grid,75+$AB81,$AD81+1)=0),0,INDEX(Engine_Grid,75+$AB81,$AD81)*(1-$AE81)+INDEX(Engine_Grid,75+$AB81,$AD81+1)*$AE81)))*IF(N($D81)&lt;1,1,$D81))</f>
        <v>0</v>
      </c>
      <c r="AJ81" s="39" t="n">
        <f aca="false">IF(N($F81)&lt;=0,0,$F81/100*IF(OR($AB81="",$AC81="",N($AC81)&lt;1,N($AC81)&gt;24),0,IF($AE81=0,INDEX(Engine_Grid,150+$AB81,$AD81),IF(OR($AD81&gt;=24,INDEX(Engine_Grid,150+$AB81,$AD81)=0,INDEX(Engine_Grid,150+$AB81,$AD81+1)=0),0,INDEX(Engine_Grid,150+$AB81,$AD81)*(1-$AE81)+INDEX(Engine_Grid,150+$AB81,$AD81+1)*$AE81)))*IF(N($D81)&lt;1,1,$D81))</f>
        <v>0</v>
      </c>
      <c r="AK81" s="39" t="n">
        <f aca="false">IF(N($F81)&lt;=0,0,$F81/100*IF(OR($AB81="",$AC81="",N($AC81)&lt;1,N($AC81)&gt;24),0,IF($AE81=0,INDEX(Engine_Grid,225+$AB81,$AD81),IF(OR($AD81&gt;=24,INDEX(Engine_Grid,225+$AB81,$AD81)=0,INDEX(Engine_Grid,225+$AB81,$AD81+1)=0),0,INDEX(Engine_Grid,225+$AB81,$AD81)*(1-$AE81)+INDEX(Engine_Grid,225+$AB81,$AD81+1)*$AE81)))*IF(N($D81)&lt;1,1,$D81))</f>
        <v>0</v>
      </c>
    </row>
    <row r="82" customFormat="false" ht="15" hidden="false" customHeight="false" outlineLevel="0" collapsed="false">
      <c r="A82" s="31" t="n">
        <v>73</v>
      </c>
      <c r="B82" s="11"/>
      <c r="C82" s="11"/>
      <c r="D82" s="32"/>
      <c r="E82" s="33"/>
      <c r="F82" s="34"/>
      <c r="G82" s="35" t="str">
        <f aca="false">IF($AB82="","",IF(INDEX(Lib_Basis,$AB82)="Piece","pcs","cm"))</f>
        <v/>
      </c>
      <c r="H82" s="36" t="n">
        <f aca="false">IF(OR($AB82="",$AC82="",N($AC82)&lt;1,N($AC82)&gt;24),0,IF($AE82=0,INDEX(Engine_Grid,(WeightIdx-1)*75+$AB82,$AD82),IF(OR($AD82&gt;=24,INDEX(Engine_Grid,(WeightIdx-1)*75+$AB82,$AD82)=0,INDEX(Engine_Grid,(WeightIdx-1)*75+$AB82,$AD82+1)=0),0,INDEX(Engine_Grid,(WeightIdx-1)*75+$AB82,$AD82)*(1-$AE82)+INDEX(Engine_Grid,(WeightIdx-1)*75+$AB82,$AD82+1)*$AE82)))</f>
        <v>0</v>
      </c>
      <c r="I82" s="37" t="n">
        <f aca="false">IF(OR($H82=0,N($F82)&lt;=0),0,$F82/100*$H82*IF(N($D82)&lt;1,1,$D82))</f>
        <v>0</v>
      </c>
      <c r="J82" s="38" t="str">
        <f aca="false">IF($AB82="","",INDEX(Lib_Needle,$AB82))</f>
        <v/>
      </c>
      <c r="K82" s="38" t="str">
        <f aca="false">IF($AB82="","",INDEX(Lib_Bobbin,$AB82))</f>
        <v/>
      </c>
      <c r="L82" s="38" t="str">
        <f aca="false">IF($AB82="","",INDEX(Lib_Looper,$AB82))</f>
        <v/>
      </c>
      <c r="M82" s="38" t="str">
        <f aca="false">IF($AB82="","",INDEX(Lib_Cover,$AB82))</f>
        <v/>
      </c>
      <c r="N82" s="11"/>
      <c r="O82" s="39" t="n">
        <f aca="false">IF($I82=0,0,IF($AF82="Y",$I82*$J82/IF(N($D82)&lt;1,1,$D82),$I82*$J82))</f>
        <v>0</v>
      </c>
      <c r="P82" s="11"/>
      <c r="Q82" s="39" t="n">
        <f aca="false">IF(AND($I82&gt;0,$AF82="Y",IF(N($D82)&lt;1,1,$D82)&gt;=2),$I82*$J82/IF(N($D82)&lt;1,1,$D82),0)</f>
        <v>0</v>
      </c>
      <c r="R82" s="11"/>
      <c r="S82" s="39" t="n">
        <f aca="false">IF(AND($I82&gt;0,$AF82="Y",IF(N($D82)&lt;1,1,$D82)&gt;=3),$I82*$J82/IF(N($D82)&lt;1,1,$D82),0)</f>
        <v>0</v>
      </c>
      <c r="T82" s="11"/>
      <c r="U82" s="39" t="n">
        <f aca="false">IF($I82=0,0,$I82*$K82)</f>
        <v>0</v>
      </c>
      <c r="V82" s="11"/>
      <c r="W82" s="39" t="n">
        <f aca="false">IF($I82=0,0,$I82*$L82)</f>
        <v>0</v>
      </c>
      <c r="X82" s="11"/>
      <c r="Y82" s="39" t="n">
        <f aca="false">IF($I82=0,0,$I82*$M82)</f>
        <v>0</v>
      </c>
      <c r="Z82" s="39" t="n">
        <f aca="false">IF($N82="",$O82,0)+IF($P82="",$Q82,0)+IF($R82="",$S82,0)+IF($T82="",$U82,0)+IF($V82="",$W82,0)+IF($X82="",$Y82,0)+IF(AND($AF82="Y",IF(N($D82)&lt;1,1,$D82)&gt;3),$I82*$J82*(IF(N($D82)&lt;1,1,$D82)-3)/IF(N($D82)&lt;1,1,$D82),0)</f>
        <v>0</v>
      </c>
      <c r="AA82" s="40" t="str">
        <f aca="false">IF(AND($C82="",N($F82)=0),"",IF($C82="","⚠ Select a stitch type",IF($AB82="","⚠ Stitch not in library",IF(N($F82)&lt;=0,"⚠ Enter "&amp;IF($G82="pcs","quantity","seam length (cm)"),IF(AND($G82="cm",N($E82)&lt;=0),"⚠ Enter SPI",IF($H82=0,"⚠ No factor at SPI "&amp;$E82&amp;" – valid "&amp;INDEX(Lib_MinSPI,$AB82)&amp;"–"&amp;INDEX(Lib_MaxSPI,$AB82),IF(AND($AF82="Y",IF(N($D82)&lt;1,1,$D82)&gt;3),"⚠ More than 3 rows – thread for extra rows not allocated",IF($Z82&gt;0.00001,"⚠ Assign threads ("&amp;TEXT($Z82,"0.00")&amp;" m unassigned)","✔ OK"))))))))</f>
        <v/>
      </c>
      <c r="AB82" s="16" t="str">
        <f aca="false">IF($C82="","",IFERROR(MATCH($C82,Lib_Names,0),""))</f>
        <v/>
      </c>
      <c r="AC82" s="41" t="str">
        <f aca="false">IF($AB82="","",IF(INDEX(Lib_Basis,$AB82)="Piece",1,N($E82)))</f>
        <v/>
      </c>
      <c r="AD82" s="16" t="str">
        <f aca="false">IF($AC82="","",INT($AC82))</f>
        <v/>
      </c>
      <c r="AE82" s="17" t="str">
        <f aca="false">IF($AC82="","",$AC82-$AD82)</f>
        <v/>
      </c>
      <c r="AF82" s="35" t="str">
        <f aca="false">IF($AB82="","",INDEX(Lib_Multi,$AB82))</f>
        <v/>
      </c>
      <c r="AG82" s="42" t="str">
        <f aca="false">IF($AB82="","",INDEX(Lib_Cat,$AB82))</f>
        <v/>
      </c>
      <c r="AH82" s="39" t="n">
        <f aca="false">IF(N($F82)&lt;=0,0,$F82/100*IF(OR($AB82="",$AC82="",N($AC82)&lt;1,N($AC82)&gt;24),0,IF($AE82=0,INDEX(Engine_Grid,0+$AB82,$AD82),IF(OR($AD82&gt;=24,INDEX(Engine_Grid,0+$AB82,$AD82)=0,INDEX(Engine_Grid,0+$AB82,$AD82+1)=0),0,INDEX(Engine_Grid,0+$AB82,$AD82)*(1-$AE82)+INDEX(Engine_Grid,0+$AB82,$AD82+1)*$AE82)))*IF(N($D82)&lt;1,1,$D82))</f>
        <v>0</v>
      </c>
      <c r="AI82" s="39" t="n">
        <f aca="false">IF(N($F82)&lt;=0,0,$F82/100*IF(OR($AB82="",$AC82="",N($AC82)&lt;1,N($AC82)&gt;24),0,IF($AE82=0,INDEX(Engine_Grid,75+$AB82,$AD82),IF(OR($AD82&gt;=24,INDEX(Engine_Grid,75+$AB82,$AD82)=0,INDEX(Engine_Grid,75+$AB82,$AD82+1)=0),0,INDEX(Engine_Grid,75+$AB82,$AD82)*(1-$AE82)+INDEX(Engine_Grid,75+$AB82,$AD82+1)*$AE82)))*IF(N($D82)&lt;1,1,$D82))</f>
        <v>0</v>
      </c>
      <c r="AJ82" s="39" t="n">
        <f aca="false">IF(N($F82)&lt;=0,0,$F82/100*IF(OR($AB82="",$AC82="",N($AC82)&lt;1,N($AC82)&gt;24),0,IF($AE82=0,INDEX(Engine_Grid,150+$AB82,$AD82),IF(OR($AD82&gt;=24,INDEX(Engine_Grid,150+$AB82,$AD82)=0,INDEX(Engine_Grid,150+$AB82,$AD82+1)=0),0,INDEX(Engine_Grid,150+$AB82,$AD82)*(1-$AE82)+INDEX(Engine_Grid,150+$AB82,$AD82+1)*$AE82)))*IF(N($D82)&lt;1,1,$D82))</f>
        <v>0</v>
      </c>
      <c r="AK82" s="39" t="n">
        <f aca="false">IF(N($F82)&lt;=0,0,$F82/100*IF(OR($AB82="",$AC82="",N($AC82)&lt;1,N($AC82)&gt;24),0,IF($AE82=0,INDEX(Engine_Grid,225+$AB82,$AD82),IF(OR($AD82&gt;=24,INDEX(Engine_Grid,225+$AB82,$AD82)=0,INDEX(Engine_Grid,225+$AB82,$AD82+1)=0),0,INDEX(Engine_Grid,225+$AB82,$AD82)*(1-$AE82)+INDEX(Engine_Grid,225+$AB82,$AD82+1)*$AE82)))*IF(N($D82)&lt;1,1,$D82))</f>
        <v>0</v>
      </c>
    </row>
    <row r="83" customFormat="false" ht="15" hidden="false" customHeight="false" outlineLevel="0" collapsed="false">
      <c r="A83" s="31" t="n">
        <v>74</v>
      </c>
      <c r="B83" s="11"/>
      <c r="C83" s="11"/>
      <c r="D83" s="32"/>
      <c r="E83" s="33"/>
      <c r="F83" s="34"/>
      <c r="G83" s="35" t="str">
        <f aca="false">IF($AB83="","",IF(INDEX(Lib_Basis,$AB83)="Piece","pcs","cm"))</f>
        <v/>
      </c>
      <c r="H83" s="36" t="n">
        <f aca="false">IF(OR($AB83="",$AC83="",N($AC83)&lt;1,N($AC83)&gt;24),0,IF($AE83=0,INDEX(Engine_Grid,(WeightIdx-1)*75+$AB83,$AD83),IF(OR($AD83&gt;=24,INDEX(Engine_Grid,(WeightIdx-1)*75+$AB83,$AD83)=0,INDEX(Engine_Grid,(WeightIdx-1)*75+$AB83,$AD83+1)=0),0,INDEX(Engine_Grid,(WeightIdx-1)*75+$AB83,$AD83)*(1-$AE83)+INDEX(Engine_Grid,(WeightIdx-1)*75+$AB83,$AD83+1)*$AE83)))</f>
        <v>0</v>
      </c>
      <c r="I83" s="37" t="n">
        <f aca="false">IF(OR($H83=0,N($F83)&lt;=0),0,$F83/100*$H83*IF(N($D83)&lt;1,1,$D83))</f>
        <v>0</v>
      </c>
      <c r="J83" s="38" t="str">
        <f aca="false">IF($AB83="","",INDEX(Lib_Needle,$AB83))</f>
        <v/>
      </c>
      <c r="K83" s="38" t="str">
        <f aca="false">IF($AB83="","",INDEX(Lib_Bobbin,$AB83))</f>
        <v/>
      </c>
      <c r="L83" s="38" t="str">
        <f aca="false">IF($AB83="","",INDEX(Lib_Looper,$AB83))</f>
        <v/>
      </c>
      <c r="M83" s="38" t="str">
        <f aca="false">IF($AB83="","",INDEX(Lib_Cover,$AB83))</f>
        <v/>
      </c>
      <c r="N83" s="11"/>
      <c r="O83" s="39" t="n">
        <f aca="false">IF($I83=0,0,IF($AF83="Y",$I83*$J83/IF(N($D83)&lt;1,1,$D83),$I83*$J83))</f>
        <v>0</v>
      </c>
      <c r="P83" s="11"/>
      <c r="Q83" s="39" t="n">
        <f aca="false">IF(AND($I83&gt;0,$AF83="Y",IF(N($D83)&lt;1,1,$D83)&gt;=2),$I83*$J83/IF(N($D83)&lt;1,1,$D83),0)</f>
        <v>0</v>
      </c>
      <c r="R83" s="11"/>
      <c r="S83" s="39" t="n">
        <f aca="false">IF(AND($I83&gt;0,$AF83="Y",IF(N($D83)&lt;1,1,$D83)&gt;=3),$I83*$J83/IF(N($D83)&lt;1,1,$D83),0)</f>
        <v>0</v>
      </c>
      <c r="T83" s="11"/>
      <c r="U83" s="39" t="n">
        <f aca="false">IF($I83=0,0,$I83*$K83)</f>
        <v>0</v>
      </c>
      <c r="V83" s="11"/>
      <c r="W83" s="39" t="n">
        <f aca="false">IF($I83=0,0,$I83*$L83)</f>
        <v>0</v>
      </c>
      <c r="X83" s="11"/>
      <c r="Y83" s="39" t="n">
        <f aca="false">IF($I83=0,0,$I83*$M83)</f>
        <v>0</v>
      </c>
      <c r="Z83" s="39" t="n">
        <f aca="false">IF($N83="",$O83,0)+IF($P83="",$Q83,0)+IF($R83="",$S83,0)+IF($T83="",$U83,0)+IF($V83="",$W83,0)+IF($X83="",$Y83,0)+IF(AND($AF83="Y",IF(N($D83)&lt;1,1,$D83)&gt;3),$I83*$J83*(IF(N($D83)&lt;1,1,$D83)-3)/IF(N($D83)&lt;1,1,$D83),0)</f>
        <v>0</v>
      </c>
      <c r="AA83" s="40" t="str">
        <f aca="false">IF(AND($C83="",N($F83)=0),"",IF($C83="","⚠ Select a stitch type",IF($AB83="","⚠ Stitch not in library",IF(N($F83)&lt;=0,"⚠ Enter "&amp;IF($G83="pcs","quantity","seam length (cm)"),IF(AND($G83="cm",N($E83)&lt;=0),"⚠ Enter SPI",IF($H83=0,"⚠ No factor at SPI "&amp;$E83&amp;" – valid "&amp;INDEX(Lib_MinSPI,$AB83)&amp;"–"&amp;INDEX(Lib_MaxSPI,$AB83),IF(AND($AF83="Y",IF(N($D83)&lt;1,1,$D83)&gt;3),"⚠ More than 3 rows – thread for extra rows not allocated",IF($Z83&gt;0.00001,"⚠ Assign threads ("&amp;TEXT($Z83,"0.00")&amp;" m unassigned)","✔ OK"))))))))</f>
        <v/>
      </c>
      <c r="AB83" s="16" t="str">
        <f aca="false">IF($C83="","",IFERROR(MATCH($C83,Lib_Names,0),""))</f>
        <v/>
      </c>
      <c r="AC83" s="41" t="str">
        <f aca="false">IF($AB83="","",IF(INDEX(Lib_Basis,$AB83)="Piece",1,N($E83)))</f>
        <v/>
      </c>
      <c r="AD83" s="16" t="str">
        <f aca="false">IF($AC83="","",INT($AC83))</f>
        <v/>
      </c>
      <c r="AE83" s="17" t="str">
        <f aca="false">IF($AC83="","",$AC83-$AD83)</f>
        <v/>
      </c>
      <c r="AF83" s="35" t="str">
        <f aca="false">IF($AB83="","",INDEX(Lib_Multi,$AB83))</f>
        <v/>
      </c>
      <c r="AG83" s="42" t="str">
        <f aca="false">IF($AB83="","",INDEX(Lib_Cat,$AB83))</f>
        <v/>
      </c>
      <c r="AH83" s="39" t="n">
        <f aca="false">IF(N($F83)&lt;=0,0,$F83/100*IF(OR($AB83="",$AC83="",N($AC83)&lt;1,N($AC83)&gt;24),0,IF($AE83=0,INDEX(Engine_Grid,0+$AB83,$AD83),IF(OR($AD83&gt;=24,INDEX(Engine_Grid,0+$AB83,$AD83)=0,INDEX(Engine_Grid,0+$AB83,$AD83+1)=0),0,INDEX(Engine_Grid,0+$AB83,$AD83)*(1-$AE83)+INDEX(Engine_Grid,0+$AB83,$AD83+1)*$AE83)))*IF(N($D83)&lt;1,1,$D83))</f>
        <v>0</v>
      </c>
      <c r="AI83" s="39" t="n">
        <f aca="false">IF(N($F83)&lt;=0,0,$F83/100*IF(OR($AB83="",$AC83="",N($AC83)&lt;1,N($AC83)&gt;24),0,IF($AE83=0,INDEX(Engine_Grid,75+$AB83,$AD83),IF(OR($AD83&gt;=24,INDEX(Engine_Grid,75+$AB83,$AD83)=0,INDEX(Engine_Grid,75+$AB83,$AD83+1)=0),0,INDEX(Engine_Grid,75+$AB83,$AD83)*(1-$AE83)+INDEX(Engine_Grid,75+$AB83,$AD83+1)*$AE83)))*IF(N($D83)&lt;1,1,$D83))</f>
        <v>0</v>
      </c>
      <c r="AJ83" s="39" t="n">
        <f aca="false">IF(N($F83)&lt;=0,0,$F83/100*IF(OR($AB83="",$AC83="",N($AC83)&lt;1,N($AC83)&gt;24),0,IF($AE83=0,INDEX(Engine_Grid,150+$AB83,$AD83),IF(OR($AD83&gt;=24,INDEX(Engine_Grid,150+$AB83,$AD83)=0,INDEX(Engine_Grid,150+$AB83,$AD83+1)=0),0,INDEX(Engine_Grid,150+$AB83,$AD83)*(1-$AE83)+INDEX(Engine_Grid,150+$AB83,$AD83+1)*$AE83)))*IF(N($D83)&lt;1,1,$D83))</f>
        <v>0</v>
      </c>
      <c r="AK83" s="39" t="n">
        <f aca="false">IF(N($F83)&lt;=0,0,$F83/100*IF(OR($AB83="",$AC83="",N($AC83)&lt;1,N($AC83)&gt;24),0,IF($AE83=0,INDEX(Engine_Grid,225+$AB83,$AD83),IF(OR($AD83&gt;=24,INDEX(Engine_Grid,225+$AB83,$AD83)=0,INDEX(Engine_Grid,225+$AB83,$AD83+1)=0),0,INDEX(Engine_Grid,225+$AB83,$AD83)*(1-$AE83)+INDEX(Engine_Grid,225+$AB83,$AD83+1)*$AE83)))*IF(N($D83)&lt;1,1,$D83))</f>
        <v>0</v>
      </c>
    </row>
    <row r="84" customFormat="false" ht="15" hidden="false" customHeight="false" outlineLevel="0" collapsed="false">
      <c r="A84" s="31" t="n">
        <v>75</v>
      </c>
      <c r="B84" s="11"/>
      <c r="C84" s="11"/>
      <c r="D84" s="32"/>
      <c r="E84" s="33"/>
      <c r="F84" s="34"/>
      <c r="G84" s="35" t="str">
        <f aca="false">IF($AB84="","",IF(INDEX(Lib_Basis,$AB84)="Piece","pcs","cm"))</f>
        <v/>
      </c>
      <c r="H84" s="36" t="n">
        <f aca="false">IF(OR($AB84="",$AC84="",N($AC84)&lt;1,N($AC84)&gt;24),0,IF($AE84=0,INDEX(Engine_Grid,(WeightIdx-1)*75+$AB84,$AD84),IF(OR($AD84&gt;=24,INDEX(Engine_Grid,(WeightIdx-1)*75+$AB84,$AD84)=0,INDEX(Engine_Grid,(WeightIdx-1)*75+$AB84,$AD84+1)=0),0,INDEX(Engine_Grid,(WeightIdx-1)*75+$AB84,$AD84)*(1-$AE84)+INDEX(Engine_Grid,(WeightIdx-1)*75+$AB84,$AD84+1)*$AE84)))</f>
        <v>0</v>
      </c>
      <c r="I84" s="37" t="n">
        <f aca="false">IF(OR($H84=0,N($F84)&lt;=0),0,$F84/100*$H84*IF(N($D84)&lt;1,1,$D84))</f>
        <v>0</v>
      </c>
      <c r="J84" s="38" t="str">
        <f aca="false">IF($AB84="","",INDEX(Lib_Needle,$AB84))</f>
        <v/>
      </c>
      <c r="K84" s="38" t="str">
        <f aca="false">IF($AB84="","",INDEX(Lib_Bobbin,$AB84))</f>
        <v/>
      </c>
      <c r="L84" s="38" t="str">
        <f aca="false">IF($AB84="","",INDEX(Lib_Looper,$AB84))</f>
        <v/>
      </c>
      <c r="M84" s="38" t="str">
        <f aca="false">IF($AB84="","",INDEX(Lib_Cover,$AB84))</f>
        <v/>
      </c>
      <c r="N84" s="11"/>
      <c r="O84" s="39" t="n">
        <f aca="false">IF($I84=0,0,IF($AF84="Y",$I84*$J84/IF(N($D84)&lt;1,1,$D84),$I84*$J84))</f>
        <v>0</v>
      </c>
      <c r="P84" s="11"/>
      <c r="Q84" s="39" t="n">
        <f aca="false">IF(AND($I84&gt;0,$AF84="Y",IF(N($D84)&lt;1,1,$D84)&gt;=2),$I84*$J84/IF(N($D84)&lt;1,1,$D84),0)</f>
        <v>0</v>
      </c>
      <c r="R84" s="11"/>
      <c r="S84" s="39" t="n">
        <f aca="false">IF(AND($I84&gt;0,$AF84="Y",IF(N($D84)&lt;1,1,$D84)&gt;=3),$I84*$J84/IF(N($D84)&lt;1,1,$D84),0)</f>
        <v>0</v>
      </c>
      <c r="T84" s="11"/>
      <c r="U84" s="39" t="n">
        <f aca="false">IF($I84=0,0,$I84*$K84)</f>
        <v>0</v>
      </c>
      <c r="V84" s="11"/>
      <c r="W84" s="39" t="n">
        <f aca="false">IF($I84=0,0,$I84*$L84)</f>
        <v>0</v>
      </c>
      <c r="X84" s="11"/>
      <c r="Y84" s="39" t="n">
        <f aca="false">IF($I84=0,0,$I84*$M84)</f>
        <v>0</v>
      </c>
      <c r="Z84" s="39" t="n">
        <f aca="false">IF($N84="",$O84,0)+IF($P84="",$Q84,0)+IF($R84="",$S84,0)+IF($T84="",$U84,0)+IF($V84="",$W84,0)+IF($X84="",$Y84,0)+IF(AND($AF84="Y",IF(N($D84)&lt;1,1,$D84)&gt;3),$I84*$J84*(IF(N($D84)&lt;1,1,$D84)-3)/IF(N($D84)&lt;1,1,$D84),0)</f>
        <v>0</v>
      </c>
      <c r="AA84" s="40" t="str">
        <f aca="false">IF(AND($C84="",N($F84)=0),"",IF($C84="","⚠ Select a stitch type",IF($AB84="","⚠ Stitch not in library",IF(N($F84)&lt;=0,"⚠ Enter "&amp;IF($G84="pcs","quantity","seam length (cm)"),IF(AND($G84="cm",N($E84)&lt;=0),"⚠ Enter SPI",IF($H84=0,"⚠ No factor at SPI "&amp;$E84&amp;" – valid "&amp;INDEX(Lib_MinSPI,$AB84)&amp;"–"&amp;INDEX(Lib_MaxSPI,$AB84),IF(AND($AF84="Y",IF(N($D84)&lt;1,1,$D84)&gt;3),"⚠ More than 3 rows – thread for extra rows not allocated",IF($Z84&gt;0.00001,"⚠ Assign threads ("&amp;TEXT($Z84,"0.00")&amp;" m unassigned)","✔ OK"))))))))</f>
        <v/>
      </c>
      <c r="AB84" s="16" t="str">
        <f aca="false">IF($C84="","",IFERROR(MATCH($C84,Lib_Names,0),""))</f>
        <v/>
      </c>
      <c r="AC84" s="41" t="str">
        <f aca="false">IF($AB84="","",IF(INDEX(Lib_Basis,$AB84)="Piece",1,N($E84)))</f>
        <v/>
      </c>
      <c r="AD84" s="16" t="str">
        <f aca="false">IF($AC84="","",INT($AC84))</f>
        <v/>
      </c>
      <c r="AE84" s="17" t="str">
        <f aca="false">IF($AC84="","",$AC84-$AD84)</f>
        <v/>
      </c>
      <c r="AF84" s="35" t="str">
        <f aca="false">IF($AB84="","",INDEX(Lib_Multi,$AB84))</f>
        <v/>
      </c>
      <c r="AG84" s="42" t="str">
        <f aca="false">IF($AB84="","",INDEX(Lib_Cat,$AB84))</f>
        <v/>
      </c>
      <c r="AH84" s="39" t="n">
        <f aca="false">IF(N($F84)&lt;=0,0,$F84/100*IF(OR($AB84="",$AC84="",N($AC84)&lt;1,N($AC84)&gt;24),0,IF($AE84=0,INDEX(Engine_Grid,0+$AB84,$AD84),IF(OR($AD84&gt;=24,INDEX(Engine_Grid,0+$AB84,$AD84)=0,INDEX(Engine_Grid,0+$AB84,$AD84+1)=0),0,INDEX(Engine_Grid,0+$AB84,$AD84)*(1-$AE84)+INDEX(Engine_Grid,0+$AB84,$AD84+1)*$AE84)))*IF(N($D84)&lt;1,1,$D84))</f>
        <v>0</v>
      </c>
      <c r="AI84" s="39" t="n">
        <f aca="false">IF(N($F84)&lt;=0,0,$F84/100*IF(OR($AB84="",$AC84="",N($AC84)&lt;1,N($AC84)&gt;24),0,IF($AE84=0,INDEX(Engine_Grid,75+$AB84,$AD84),IF(OR($AD84&gt;=24,INDEX(Engine_Grid,75+$AB84,$AD84)=0,INDEX(Engine_Grid,75+$AB84,$AD84+1)=0),0,INDEX(Engine_Grid,75+$AB84,$AD84)*(1-$AE84)+INDEX(Engine_Grid,75+$AB84,$AD84+1)*$AE84)))*IF(N($D84)&lt;1,1,$D84))</f>
        <v>0</v>
      </c>
      <c r="AJ84" s="39" t="n">
        <f aca="false">IF(N($F84)&lt;=0,0,$F84/100*IF(OR($AB84="",$AC84="",N($AC84)&lt;1,N($AC84)&gt;24),0,IF($AE84=0,INDEX(Engine_Grid,150+$AB84,$AD84),IF(OR($AD84&gt;=24,INDEX(Engine_Grid,150+$AB84,$AD84)=0,INDEX(Engine_Grid,150+$AB84,$AD84+1)=0),0,INDEX(Engine_Grid,150+$AB84,$AD84)*(1-$AE84)+INDEX(Engine_Grid,150+$AB84,$AD84+1)*$AE84)))*IF(N($D84)&lt;1,1,$D84))</f>
        <v>0</v>
      </c>
      <c r="AK84" s="39" t="n">
        <f aca="false">IF(N($F84)&lt;=0,0,$F84/100*IF(OR($AB84="",$AC84="",N($AC84)&lt;1,N($AC84)&gt;24),0,IF($AE84=0,INDEX(Engine_Grid,225+$AB84,$AD84),IF(OR($AD84&gt;=24,INDEX(Engine_Grid,225+$AB84,$AD84)=0,INDEX(Engine_Grid,225+$AB84,$AD84+1)=0),0,INDEX(Engine_Grid,225+$AB84,$AD84)*(1-$AE84)+INDEX(Engine_Grid,225+$AB84,$AD84+1)*$AE84)))*IF(N($D84)&lt;1,1,$D84))</f>
        <v>0</v>
      </c>
    </row>
    <row r="85" customFormat="false" ht="15" hidden="false" customHeight="false" outlineLevel="0" collapsed="false">
      <c r="A85" s="31" t="n">
        <v>76</v>
      </c>
      <c r="B85" s="11"/>
      <c r="C85" s="11"/>
      <c r="D85" s="32"/>
      <c r="E85" s="33"/>
      <c r="F85" s="34"/>
      <c r="G85" s="35" t="str">
        <f aca="false">IF($AB85="","",IF(INDEX(Lib_Basis,$AB85)="Piece","pcs","cm"))</f>
        <v/>
      </c>
      <c r="H85" s="36" t="n">
        <f aca="false">IF(OR($AB85="",$AC85="",N($AC85)&lt;1,N($AC85)&gt;24),0,IF($AE85=0,INDEX(Engine_Grid,(WeightIdx-1)*75+$AB85,$AD85),IF(OR($AD85&gt;=24,INDEX(Engine_Grid,(WeightIdx-1)*75+$AB85,$AD85)=0,INDEX(Engine_Grid,(WeightIdx-1)*75+$AB85,$AD85+1)=0),0,INDEX(Engine_Grid,(WeightIdx-1)*75+$AB85,$AD85)*(1-$AE85)+INDEX(Engine_Grid,(WeightIdx-1)*75+$AB85,$AD85+1)*$AE85)))</f>
        <v>0</v>
      </c>
      <c r="I85" s="37" t="n">
        <f aca="false">IF(OR($H85=0,N($F85)&lt;=0),0,$F85/100*$H85*IF(N($D85)&lt;1,1,$D85))</f>
        <v>0</v>
      </c>
      <c r="J85" s="38" t="str">
        <f aca="false">IF($AB85="","",INDEX(Lib_Needle,$AB85))</f>
        <v/>
      </c>
      <c r="K85" s="38" t="str">
        <f aca="false">IF($AB85="","",INDEX(Lib_Bobbin,$AB85))</f>
        <v/>
      </c>
      <c r="L85" s="38" t="str">
        <f aca="false">IF($AB85="","",INDEX(Lib_Looper,$AB85))</f>
        <v/>
      </c>
      <c r="M85" s="38" t="str">
        <f aca="false">IF($AB85="","",INDEX(Lib_Cover,$AB85))</f>
        <v/>
      </c>
      <c r="N85" s="11"/>
      <c r="O85" s="39" t="n">
        <f aca="false">IF($I85=0,0,IF($AF85="Y",$I85*$J85/IF(N($D85)&lt;1,1,$D85),$I85*$J85))</f>
        <v>0</v>
      </c>
      <c r="P85" s="11"/>
      <c r="Q85" s="39" t="n">
        <f aca="false">IF(AND($I85&gt;0,$AF85="Y",IF(N($D85)&lt;1,1,$D85)&gt;=2),$I85*$J85/IF(N($D85)&lt;1,1,$D85),0)</f>
        <v>0</v>
      </c>
      <c r="R85" s="11"/>
      <c r="S85" s="39" t="n">
        <f aca="false">IF(AND($I85&gt;0,$AF85="Y",IF(N($D85)&lt;1,1,$D85)&gt;=3),$I85*$J85/IF(N($D85)&lt;1,1,$D85),0)</f>
        <v>0</v>
      </c>
      <c r="T85" s="11"/>
      <c r="U85" s="39" t="n">
        <f aca="false">IF($I85=0,0,$I85*$K85)</f>
        <v>0</v>
      </c>
      <c r="V85" s="11"/>
      <c r="W85" s="39" t="n">
        <f aca="false">IF($I85=0,0,$I85*$L85)</f>
        <v>0</v>
      </c>
      <c r="X85" s="11"/>
      <c r="Y85" s="39" t="n">
        <f aca="false">IF($I85=0,0,$I85*$M85)</f>
        <v>0</v>
      </c>
      <c r="Z85" s="39" t="n">
        <f aca="false">IF($N85="",$O85,0)+IF($P85="",$Q85,0)+IF($R85="",$S85,0)+IF($T85="",$U85,0)+IF($V85="",$W85,0)+IF($X85="",$Y85,0)+IF(AND($AF85="Y",IF(N($D85)&lt;1,1,$D85)&gt;3),$I85*$J85*(IF(N($D85)&lt;1,1,$D85)-3)/IF(N($D85)&lt;1,1,$D85),0)</f>
        <v>0</v>
      </c>
      <c r="AA85" s="40" t="str">
        <f aca="false">IF(AND($C85="",N($F85)=0),"",IF($C85="","⚠ Select a stitch type",IF($AB85="","⚠ Stitch not in library",IF(N($F85)&lt;=0,"⚠ Enter "&amp;IF($G85="pcs","quantity","seam length (cm)"),IF(AND($G85="cm",N($E85)&lt;=0),"⚠ Enter SPI",IF($H85=0,"⚠ No factor at SPI "&amp;$E85&amp;" – valid "&amp;INDEX(Lib_MinSPI,$AB85)&amp;"–"&amp;INDEX(Lib_MaxSPI,$AB85),IF(AND($AF85="Y",IF(N($D85)&lt;1,1,$D85)&gt;3),"⚠ More than 3 rows – thread for extra rows not allocated",IF($Z85&gt;0.00001,"⚠ Assign threads ("&amp;TEXT($Z85,"0.00")&amp;" m unassigned)","✔ OK"))))))))</f>
        <v/>
      </c>
      <c r="AB85" s="16" t="str">
        <f aca="false">IF($C85="","",IFERROR(MATCH($C85,Lib_Names,0),""))</f>
        <v/>
      </c>
      <c r="AC85" s="41" t="str">
        <f aca="false">IF($AB85="","",IF(INDEX(Lib_Basis,$AB85)="Piece",1,N($E85)))</f>
        <v/>
      </c>
      <c r="AD85" s="16" t="str">
        <f aca="false">IF($AC85="","",INT($AC85))</f>
        <v/>
      </c>
      <c r="AE85" s="17" t="str">
        <f aca="false">IF($AC85="","",$AC85-$AD85)</f>
        <v/>
      </c>
      <c r="AF85" s="35" t="str">
        <f aca="false">IF($AB85="","",INDEX(Lib_Multi,$AB85))</f>
        <v/>
      </c>
      <c r="AG85" s="42" t="str">
        <f aca="false">IF($AB85="","",INDEX(Lib_Cat,$AB85))</f>
        <v/>
      </c>
      <c r="AH85" s="39" t="n">
        <f aca="false">IF(N($F85)&lt;=0,0,$F85/100*IF(OR($AB85="",$AC85="",N($AC85)&lt;1,N($AC85)&gt;24),0,IF($AE85=0,INDEX(Engine_Grid,0+$AB85,$AD85),IF(OR($AD85&gt;=24,INDEX(Engine_Grid,0+$AB85,$AD85)=0,INDEX(Engine_Grid,0+$AB85,$AD85+1)=0),0,INDEX(Engine_Grid,0+$AB85,$AD85)*(1-$AE85)+INDEX(Engine_Grid,0+$AB85,$AD85+1)*$AE85)))*IF(N($D85)&lt;1,1,$D85))</f>
        <v>0</v>
      </c>
      <c r="AI85" s="39" t="n">
        <f aca="false">IF(N($F85)&lt;=0,0,$F85/100*IF(OR($AB85="",$AC85="",N($AC85)&lt;1,N($AC85)&gt;24),0,IF($AE85=0,INDEX(Engine_Grid,75+$AB85,$AD85),IF(OR($AD85&gt;=24,INDEX(Engine_Grid,75+$AB85,$AD85)=0,INDEX(Engine_Grid,75+$AB85,$AD85+1)=0),0,INDEX(Engine_Grid,75+$AB85,$AD85)*(1-$AE85)+INDEX(Engine_Grid,75+$AB85,$AD85+1)*$AE85)))*IF(N($D85)&lt;1,1,$D85))</f>
        <v>0</v>
      </c>
      <c r="AJ85" s="39" t="n">
        <f aca="false">IF(N($F85)&lt;=0,0,$F85/100*IF(OR($AB85="",$AC85="",N($AC85)&lt;1,N($AC85)&gt;24),0,IF($AE85=0,INDEX(Engine_Grid,150+$AB85,$AD85),IF(OR($AD85&gt;=24,INDEX(Engine_Grid,150+$AB85,$AD85)=0,INDEX(Engine_Grid,150+$AB85,$AD85+1)=0),0,INDEX(Engine_Grid,150+$AB85,$AD85)*(1-$AE85)+INDEX(Engine_Grid,150+$AB85,$AD85+1)*$AE85)))*IF(N($D85)&lt;1,1,$D85))</f>
        <v>0</v>
      </c>
      <c r="AK85" s="39" t="n">
        <f aca="false">IF(N($F85)&lt;=0,0,$F85/100*IF(OR($AB85="",$AC85="",N($AC85)&lt;1,N($AC85)&gt;24),0,IF($AE85=0,INDEX(Engine_Grid,225+$AB85,$AD85),IF(OR($AD85&gt;=24,INDEX(Engine_Grid,225+$AB85,$AD85)=0,INDEX(Engine_Grid,225+$AB85,$AD85+1)=0),0,INDEX(Engine_Grid,225+$AB85,$AD85)*(1-$AE85)+INDEX(Engine_Grid,225+$AB85,$AD85+1)*$AE85)))*IF(N($D85)&lt;1,1,$D85))</f>
        <v>0</v>
      </c>
    </row>
    <row r="86" customFormat="false" ht="15" hidden="false" customHeight="false" outlineLevel="0" collapsed="false">
      <c r="A86" s="31" t="n">
        <v>77</v>
      </c>
      <c r="B86" s="11"/>
      <c r="C86" s="11"/>
      <c r="D86" s="32"/>
      <c r="E86" s="33"/>
      <c r="F86" s="34"/>
      <c r="G86" s="35" t="str">
        <f aca="false">IF($AB86="","",IF(INDEX(Lib_Basis,$AB86)="Piece","pcs","cm"))</f>
        <v/>
      </c>
      <c r="H86" s="36" t="n">
        <f aca="false">IF(OR($AB86="",$AC86="",N($AC86)&lt;1,N($AC86)&gt;24),0,IF($AE86=0,INDEX(Engine_Grid,(WeightIdx-1)*75+$AB86,$AD86),IF(OR($AD86&gt;=24,INDEX(Engine_Grid,(WeightIdx-1)*75+$AB86,$AD86)=0,INDEX(Engine_Grid,(WeightIdx-1)*75+$AB86,$AD86+1)=0),0,INDEX(Engine_Grid,(WeightIdx-1)*75+$AB86,$AD86)*(1-$AE86)+INDEX(Engine_Grid,(WeightIdx-1)*75+$AB86,$AD86+1)*$AE86)))</f>
        <v>0</v>
      </c>
      <c r="I86" s="37" t="n">
        <f aca="false">IF(OR($H86=0,N($F86)&lt;=0),0,$F86/100*$H86*IF(N($D86)&lt;1,1,$D86))</f>
        <v>0</v>
      </c>
      <c r="J86" s="38" t="str">
        <f aca="false">IF($AB86="","",INDEX(Lib_Needle,$AB86))</f>
        <v/>
      </c>
      <c r="K86" s="38" t="str">
        <f aca="false">IF($AB86="","",INDEX(Lib_Bobbin,$AB86))</f>
        <v/>
      </c>
      <c r="L86" s="38" t="str">
        <f aca="false">IF($AB86="","",INDEX(Lib_Looper,$AB86))</f>
        <v/>
      </c>
      <c r="M86" s="38" t="str">
        <f aca="false">IF($AB86="","",INDEX(Lib_Cover,$AB86))</f>
        <v/>
      </c>
      <c r="N86" s="11"/>
      <c r="O86" s="39" t="n">
        <f aca="false">IF($I86=0,0,IF($AF86="Y",$I86*$J86/IF(N($D86)&lt;1,1,$D86),$I86*$J86))</f>
        <v>0</v>
      </c>
      <c r="P86" s="11"/>
      <c r="Q86" s="39" t="n">
        <f aca="false">IF(AND($I86&gt;0,$AF86="Y",IF(N($D86)&lt;1,1,$D86)&gt;=2),$I86*$J86/IF(N($D86)&lt;1,1,$D86),0)</f>
        <v>0</v>
      </c>
      <c r="R86" s="11"/>
      <c r="S86" s="39" t="n">
        <f aca="false">IF(AND($I86&gt;0,$AF86="Y",IF(N($D86)&lt;1,1,$D86)&gt;=3),$I86*$J86/IF(N($D86)&lt;1,1,$D86),0)</f>
        <v>0</v>
      </c>
      <c r="T86" s="11"/>
      <c r="U86" s="39" t="n">
        <f aca="false">IF($I86=0,0,$I86*$K86)</f>
        <v>0</v>
      </c>
      <c r="V86" s="11"/>
      <c r="W86" s="39" t="n">
        <f aca="false">IF($I86=0,0,$I86*$L86)</f>
        <v>0</v>
      </c>
      <c r="X86" s="11"/>
      <c r="Y86" s="39" t="n">
        <f aca="false">IF($I86=0,0,$I86*$M86)</f>
        <v>0</v>
      </c>
      <c r="Z86" s="39" t="n">
        <f aca="false">IF($N86="",$O86,0)+IF($P86="",$Q86,0)+IF($R86="",$S86,0)+IF($T86="",$U86,0)+IF($V86="",$W86,0)+IF($X86="",$Y86,0)+IF(AND($AF86="Y",IF(N($D86)&lt;1,1,$D86)&gt;3),$I86*$J86*(IF(N($D86)&lt;1,1,$D86)-3)/IF(N($D86)&lt;1,1,$D86),0)</f>
        <v>0</v>
      </c>
      <c r="AA86" s="40" t="str">
        <f aca="false">IF(AND($C86="",N($F86)=0),"",IF($C86="","⚠ Select a stitch type",IF($AB86="","⚠ Stitch not in library",IF(N($F86)&lt;=0,"⚠ Enter "&amp;IF($G86="pcs","quantity","seam length (cm)"),IF(AND($G86="cm",N($E86)&lt;=0),"⚠ Enter SPI",IF($H86=0,"⚠ No factor at SPI "&amp;$E86&amp;" – valid "&amp;INDEX(Lib_MinSPI,$AB86)&amp;"–"&amp;INDEX(Lib_MaxSPI,$AB86),IF(AND($AF86="Y",IF(N($D86)&lt;1,1,$D86)&gt;3),"⚠ More than 3 rows – thread for extra rows not allocated",IF($Z86&gt;0.00001,"⚠ Assign threads ("&amp;TEXT($Z86,"0.00")&amp;" m unassigned)","✔ OK"))))))))</f>
        <v/>
      </c>
      <c r="AB86" s="16" t="str">
        <f aca="false">IF($C86="","",IFERROR(MATCH($C86,Lib_Names,0),""))</f>
        <v/>
      </c>
      <c r="AC86" s="41" t="str">
        <f aca="false">IF($AB86="","",IF(INDEX(Lib_Basis,$AB86)="Piece",1,N($E86)))</f>
        <v/>
      </c>
      <c r="AD86" s="16" t="str">
        <f aca="false">IF($AC86="","",INT($AC86))</f>
        <v/>
      </c>
      <c r="AE86" s="17" t="str">
        <f aca="false">IF($AC86="","",$AC86-$AD86)</f>
        <v/>
      </c>
      <c r="AF86" s="35" t="str">
        <f aca="false">IF($AB86="","",INDEX(Lib_Multi,$AB86))</f>
        <v/>
      </c>
      <c r="AG86" s="42" t="str">
        <f aca="false">IF($AB86="","",INDEX(Lib_Cat,$AB86))</f>
        <v/>
      </c>
      <c r="AH86" s="39" t="n">
        <f aca="false">IF(N($F86)&lt;=0,0,$F86/100*IF(OR($AB86="",$AC86="",N($AC86)&lt;1,N($AC86)&gt;24),0,IF($AE86=0,INDEX(Engine_Grid,0+$AB86,$AD86),IF(OR($AD86&gt;=24,INDEX(Engine_Grid,0+$AB86,$AD86)=0,INDEX(Engine_Grid,0+$AB86,$AD86+1)=0),0,INDEX(Engine_Grid,0+$AB86,$AD86)*(1-$AE86)+INDEX(Engine_Grid,0+$AB86,$AD86+1)*$AE86)))*IF(N($D86)&lt;1,1,$D86))</f>
        <v>0</v>
      </c>
      <c r="AI86" s="39" t="n">
        <f aca="false">IF(N($F86)&lt;=0,0,$F86/100*IF(OR($AB86="",$AC86="",N($AC86)&lt;1,N($AC86)&gt;24),0,IF($AE86=0,INDEX(Engine_Grid,75+$AB86,$AD86),IF(OR($AD86&gt;=24,INDEX(Engine_Grid,75+$AB86,$AD86)=0,INDEX(Engine_Grid,75+$AB86,$AD86+1)=0),0,INDEX(Engine_Grid,75+$AB86,$AD86)*(1-$AE86)+INDEX(Engine_Grid,75+$AB86,$AD86+1)*$AE86)))*IF(N($D86)&lt;1,1,$D86))</f>
        <v>0</v>
      </c>
      <c r="AJ86" s="39" t="n">
        <f aca="false">IF(N($F86)&lt;=0,0,$F86/100*IF(OR($AB86="",$AC86="",N($AC86)&lt;1,N($AC86)&gt;24),0,IF($AE86=0,INDEX(Engine_Grid,150+$AB86,$AD86),IF(OR($AD86&gt;=24,INDEX(Engine_Grid,150+$AB86,$AD86)=0,INDEX(Engine_Grid,150+$AB86,$AD86+1)=0),0,INDEX(Engine_Grid,150+$AB86,$AD86)*(1-$AE86)+INDEX(Engine_Grid,150+$AB86,$AD86+1)*$AE86)))*IF(N($D86)&lt;1,1,$D86))</f>
        <v>0</v>
      </c>
      <c r="AK86" s="39" t="n">
        <f aca="false">IF(N($F86)&lt;=0,0,$F86/100*IF(OR($AB86="",$AC86="",N($AC86)&lt;1,N($AC86)&gt;24),0,IF($AE86=0,INDEX(Engine_Grid,225+$AB86,$AD86),IF(OR($AD86&gt;=24,INDEX(Engine_Grid,225+$AB86,$AD86)=0,INDEX(Engine_Grid,225+$AB86,$AD86+1)=0),0,INDEX(Engine_Grid,225+$AB86,$AD86)*(1-$AE86)+INDEX(Engine_Grid,225+$AB86,$AD86+1)*$AE86)))*IF(N($D86)&lt;1,1,$D86))</f>
        <v>0</v>
      </c>
    </row>
    <row r="87" customFormat="false" ht="15" hidden="false" customHeight="false" outlineLevel="0" collapsed="false">
      <c r="A87" s="31" t="n">
        <v>78</v>
      </c>
      <c r="B87" s="11"/>
      <c r="C87" s="11"/>
      <c r="D87" s="32"/>
      <c r="E87" s="33"/>
      <c r="F87" s="34"/>
      <c r="G87" s="35" t="str">
        <f aca="false">IF($AB87="","",IF(INDEX(Lib_Basis,$AB87)="Piece","pcs","cm"))</f>
        <v/>
      </c>
      <c r="H87" s="36" t="n">
        <f aca="false">IF(OR($AB87="",$AC87="",N($AC87)&lt;1,N($AC87)&gt;24),0,IF($AE87=0,INDEX(Engine_Grid,(WeightIdx-1)*75+$AB87,$AD87),IF(OR($AD87&gt;=24,INDEX(Engine_Grid,(WeightIdx-1)*75+$AB87,$AD87)=0,INDEX(Engine_Grid,(WeightIdx-1)*75+$AB87,$AD87+1)=0),0,INDEX(Engine_Grid,(WeightIdx-1)*75+$AB87,$AD87)*(1-$AE87)+INDEX(Engine_Grid,(WeightIdx-1)*75+$AB87,$AD87+1)*$AE87)))</f>
        <v>0</v>
      </c>
      <c r="I87" s="37" t="n">
        <f aca="false">IF(OR($H87=0,N($F87)&lt;=0),0,$F87/100*$H87*IF(N($D87)&lt;1,1,$D87))</f>
        <v>0</v>
      </c>
      <c r="J87" s="38" t="str">
        <f aca="false">IF($AB87="","",INDEX(Lib_Needle,$AB87))</f>
        <v/>
      </c>
      <c r="K87" s="38" t="str">
        <f aca="false">IF($AB87="","",INDEX(Lib_Bobbin,$AB87))</f>
        <v/>
      </c>
      <c r="L87" s="38" t="str">
        <f aca="false">IF($AB87="","",INDEX(Lib_Looper,$AB87))</f>
        <v/>
      </c>
      <c r="M87" s="38" t="str">
        <f aca="false">IF($AB87="","",INDEX(Lib_Cover,$AB87))</f>
        <v/>
      </c>
      <c r="N87" s="11"/>
      <c r="O87" s="39" t="n">
        <f aca="false">IF($I87=0,0,IF($AF87="Y",$I87*$J87/IF(N($D87)&lt;1,1,$D87),$I87*$J87))</f>
        <v>0</v>
      </c>
      <c r="P87" s="11"/>
      <c r="Q87" s="39" t="n">
        <f aca="false">IF(AND($I87&gt;0,$AF87="Y",IF(N($D87)&lt;1,1,$D87)&gt;=2),$I87*$J87/IF(N($D87)&lt;1,1,$D87),0)</f>
        <v>0</v>
      </c>
      <c r="R87" s="11"/>
      <c r="S87" s="39" t="n">
        <f aca="false">IF(AND($I87&gt;0,$AF87="Y",IF(N($D87)&lt;1,1,$D87)&gt;=3),$I87*$J87/IF(N($D87)&lt;1,1,$D87),0)</f>
        <v>0</v>
      </c>
      <c r="T87" s="11"/>
      <c r="U87" s="39" t="n">
        <f aca="false">IF($I87=0,0,$I87*$K87)</f>
        <v>0</v>
      </c>
      <c r="V87" s="11"/>
      <c r="W87" s="39" t="n">
        <f aca="false">IF($I87=0,0,$I87*$L87)</f>
        <v>0</v>
      </c>
      <c r="X87" s="11"/>
      <c r="Y87" s="39" t="n">
        <f aca="false">IF($I87=0,0,$I87*$M87)</f>
        <v>0</v>
      </c>
      <c r="Z87" s="39" t="n">
        <f aca="false">IF($N87="",$O87,0)+IF($P87="",$Q87,0)+IF($R87="",$S87,0)+IF($T87="",$U87,0)+IF($V87="",$W87,0)+IF($X87="",$Y87,0)+IF(AND($AF87="Y",IF(N($D87)&lt;1,1,$D87)&gt;3),$I87*$J87*(IF(N($D87)&lt;1,1,$D87)-3)/IF(N($D87)&lt;1,1,$D87),0)</f>
        <v>0</v>
      </c>
      <c r="AA87" s="40" t="str">
        <f aca="false">IF(AND($C87="",N($F87)=0),"",IF($C87="","⚠ Select a stitch type",IF($AB87="","⚠ Stitch not in library",IF(N($F87)&lt;=0,"⚠ Enter "&amp;IF($G87="pcs","quantity","seam length (cm)"),IF(AND($G87="cm",N($E87)&lt;=0),"⚠ Enter SPI",IF($H87=0,"⚠ No factor at SPI "&amp;$E87&amp;" – valid "&amp;INDEX(Lib_MinSPI,$AB87)&amp;"–"&amp;INDEX(Lib_MaxSPI,$AB87),IF(AND($AF87="Y",IF(N($D87)&lt;1,1,$D87)&gt;3),"⚠ More than 3 rows – thread for extra rows not allocated",IF($Z87&gt;0.00001,"⚠ Assign threads ("&amp;TEXT($Z87,"0.00")&amp;" m unassigned)","✔ OK"))))))))</f>
        <v/>
      </c>
      <c r="AB87" s="16" t="str">
        <f aca="false">IF($C87="","",IFERROR(MATCH($C87,Lib_Names,0),""))</f>
        <v/>
      </c>
      <c r="AC87" s="41" t="str">
        <f aca="false">IF($AB87="","",IF(INDEX(Lib_Basis,$AB87)="Piece",1,N($E87)))</f>
        <v/>
      </c>
      <c r="AD87" s="16" t="str">
        <f aca="false">IF($AC87="","",INT($AC87))</f>
        <v/>
      </c>
      <c r="AE87" s="17" t="str">
        <f aca="false">IF($AC87="","",$AC87-$AD87)</f>
        <v/>
      </c>
      <c r="AF87" s="35" t="str">
        <f aca="false">IF($AB87="","",INDEX(Lib_Multi,$AB87))</f>
        <v/>
      </c>
      <c r="AG87" s="42" t="str">
        <f aca="false">IF($AB87="","",INDEX(Lib_Cat,$AB87))</f>
        <v/>
      </c>
      <c r="AH87" s="39" t="n">
        <f aca="false">IF(N($F87)&lt;=0,0,$F87/100*IF(OR($AB87="",$AC87="",N($AC87)&lt;1,N($AC87)&gt;24),0,IF($AE87=0,INDEX(Engine_Grid,0+$AB87,$AD87),IF(OR($AD87&gt;=24,INDEX(Engine_Grid,0+$AB87,$AD87)=0,INDEX(Engine_Grid,0+$AB87,$AD87+1)=0),0,INDEX(Engine_Grid,0+$AB87,$AD87)*(1-$AE87)+INDEX(Engine_Grid,0+$AB87,$AD87+1)*$AE87)))*IF(N($D87)&lt;1,1,$D87))</f>
        <v>0</v>
      </c>
      <c r="AI87" s="39" t="n">
        <f aca="false">IF(N($F87)&lt;=0,0,$F87/100*IF(OR($AB87="",$AC87="",N($AC87)&lt;1,N($AC87)&gt;24),0,IF($AE87=0,INDEX(Engine_Grid,75+$AB87,$AD87),IF(OR($AD87&gt;=24,INDEX(Engine_Grid,75+$AB87,$AD87)=0,INDEX(Engine_Grid,75+$AB87,$AD87+1)=0),0,INDEX(Engine_Grid,75+$AB87,$AD87)*(1-$AE87)+INDEX(Engine_Grid,75+$AB87,$AD87+1)*$AE87)))*IF(N($D87)&lt;1,1,$D87))</f>
        <v>0</v>
      </c>
      <c r="AJ87" s="39" t="n">
        <f aca="false">IF(N($F87)&lt;=0,0,$F87/100*IF(OR($AB87="",$AC87="",N($AC87)&lt;1,N($AC87)&gt;24),0,IF($AE87=0,INDEX(Engine_Grid,150+$AB87,$AD87),IF(OR($AD87&gt;=24,INDEX(Engine_Grid,150+$AB87,$AD87)=0,INDEX(Engine_Grid,150+$AB87,$AD87+1)=0),0,INDEX(Engine_Grid,150+$AB87,$AD87)*(1-$AE87)+INDEX(Engine_Grid,150+$AB87,$AD87+1)*$AE87)))*IF(N($D87)&lt;1,1,$D87))</f>
        <v>0</v>
      </c>
      <c r="AK87" s="39" t="n">
        <f aca="false">IF(N($F87)&lt;=0,0,$F87/100*IF(OR($AB87="",$AC87="",N($AC87)&lt;1,N($AC87)&gt;24),0,IF($AE87=0,INDEX(Engine_Grid,225+$AB87,$AD87),IF(OR($AD87&gt;=24,INDEX(Engine_Grid,225+$AB87,$AD87)=0,INDEX(Engine_Grid,225+$AB87,$AD87+1)=0),0,INDEX(Engine_Grid,225+$AB87,$AD87)*(1-$AE87)+INDEX(Engine_Grid,225+$AB87,$AD87+1)*$AE87)))*IF(N($D87)&lt;1,1,$D87))</f>
        <v>0</v>
      </c>
    </row>
    <row r="88" customFormat="false" ht="15" hidden="false" customHeight="false" outlineLevel="0" collapsed="false">
      <c r="A88" s="31" t="n">
        <v>79</v>
      </c>
      <c r="B88" s="11"/>
      <c r="C88" s="11"/>
      <c r="D88" s="32"/>
      <c r="E88" s="33"/>
      <c r="F88" s="34"/>
      <c r="G88" s="35" t="str">
        <f aca="false">IF($AB88="","",IF(INDEX(Lib_Basis,$AB88)="Piece","pcs","cm"))</f>
        <v/>
      </c>
      <c r="H88" s="36" t="n">
        <f aca="false">IF(OR($AB88="",$AC88="",N($AC88)&lt;1,N($AC88)&gt;24),0,IF($AE88=0,INDEX(Engine_Grid,(WeightIdx-1)*75+$AB88,$AD88),IF(OR($AD88&gt;=24,INDEX(Engine_Grid,(WeightIdx-1)*75+$AB88,$AD88)=0,INDEX(Engine_Grid,(WeightIdx-1)*75+$AB88,$AD88+1)=0),0,INDEX(Engine_Grid,(WeightIdx-1)*75+$AB88,$AD88)*(1-$AE88)+INDEX(Engine_Grid,(WeightIdx-1)*75+$AB88,$AD88+1)*$AE88)))</f>
        <v>0</v>
      </c>
      <c r="I88" s="37" t="n">
        <f aca="false">IF(OR($H88=0,N($F88)&lt;=0),0,$F88/100*$H88*IF(N($D88)&lt;1,1,$D88))</f>
        <v>0</v>
      </c>
      <c r="J88" s="38" t="str">
        <f aca="false">IF($AB88="","",INDEX(Lib_Needle,$AB88))</f>
        <v/>
      </c>
      <c r="K88" s="38" t="str">
        <f aca="false">IF($AB88="","",INDEX(Lib_Bobbin,$AB88))</f>
        <v/>
      </c>
      <c r="L88" s="38" t="str">
        <f aca="false">IF($AB88="","",INDEX(Lib_Looper,$AB88))</f>
        <v/>
      </c>
      <c r="M88" s="38" t="str">
        <f aca="false">IF($AB88="","",INDEX(Lib_Cover,$AB88))</f>
        <v/>
      </c>
      <c r="N88" s="11"/>
      <c r="O88" s="39" t="n">
        <f aca="false">IF($I88=0,0,IF($AF88="Y",$I88*$J88/IF(N($D88)&lt;1,1,$D88),$I88*$J88))</f>
        <v>0</v>
      </c>
      <c r="P88" s="11"/>
      <c r="Q88" s="39" t="n">
        <f aca="false">IF(AND($I88&gt;0,$AF88="Y",IF(N($D88)&lt;1,1,$D88)&gt;=2),$I88*$J88/IF(N($D88)&lt;1,1,$D88),0)</f>
        <v>0</v>
      </c>
      <c r="R88" s="11"/>
      <c r="S88" s="39" t="n">
        <f aca="false">IF(AND($I88&gt;0,$AF88="Y",IF(N($D88)&lt;1,1,$D88)&gt;=3),$I88*$J88/IF(N($D88)&lt;1,1,$D88),0)</f>
        <v>0</v>
      </c>
      <c r="T88" s="11"/>
      <c r="U88" s="39" t="n">
        <f aca="false">IF($I88=0,0,$I88*$K88)</f>
        <v>0</v>
      </c>
      <c r="V88" s="11"/>
      <c r="W88" s="39" t="n">
        <f aca="false">IF($I88=0,0,$I88*$L88)</f>
        <v>0</v>
      </c>
      <c r="X88" s="11"/>
      <c r="Y88" s="39" t="n">
        <f aca="false">IF($I88=0,0,$I88*$M88)</f>
        <v>0</v>
      </c>
      <c r="Z88" s="39" t="n">
        <f aca="false">IF($N88="",$O88,0)+IF($P88="",$Q88,0)+IF($R88="",$S88,0)+IF($T88="",$U88,0)+IF($V88="",$W88,0)+IF($X88="",$Y88,0)+IF(AND($AF88="Y",IF(N($D88)&lt;1,1,$D88)&gt;3),$I88*$J88*(IF(N($D88)&lt;1,1,$D88)-3)/IF(N($D88)&lt;1,1,$D88),0)</f>
        <v>0</v>
      </c>
      <c r="AA88" s="40" t="str">
        <f aca="false">IF(AND($C88="",N($F88)=0),"",IF($C88="","⚠ Select a stitch type",IF($AB88="","⚠ Stitch not in library",IF(N($F88)&lt;=0,"⚠ Enter "&amp;IF($G88="pcs","quantity","seam length (cm)"),IF(AND($G88="cm",N($E88)&lt;=0),"⚠ Enter SPI",IF($H88=0,"⚠ No factor at SPI "&amp;$E88&amp;" – valid "&amp;INDEX(Lib_MinSPI,$AB88)&amp;"–"&amp;INDEX(Lib_MaxSPI,$AB88),IF(AND($AF88="Y",IF(N($D88)&lt;1,1,$D88)&gt;3),"⚠ More than 3 rows – thread for extra rows not allocated",IF($Z88&gt;0.00001,"⚠ Assign threads ("&amp;TEXT($Z88,"0.00")&amp;" m unassigned)","✔ OK"))))))))</f>
        <v/>
      </c>
      <c r="AB88" s="16" t="str">
        <f aca="false">IF($C88="","",IFERROR(MATCH($C88,Lib_Names,0),""))</f>
        <v/>
      </c>
      <c r="AC88" s="41" t="str">
        <f aca="false">IF($AB88="","",IF(INDEX(Lib_Basis,$AB88)="Piece",1,N($E88)))</f>
        <v/>
      </c>
      <c r="AD88" s="16" t="str">
        <f aca="false">IF($AC88="","",INT($AC88))</f>
        <v/>
      </c>
      <c r="AE88" s="17" t="str">
        <f aca="false">IF($AC88="","",$AC88-$AD88)</f>
        <v/>
      </c>
      <c r="AF88" s="35" t="str">
        <f aca="false">IF($AB88="","",INDEX(Lib_Multi,$AB88))</f>
        <v/>
      </c>
      <c r="AG88" s="42" t="str">
        <f aca="false">IF($AB88="","",INDEX(Lib_Cat,$AB88))</f>
        <v/>
      </c>
      <c r="AH88" s="39" t="n">
        <f aca="false">IF(N($F88)&lt;=0,0,$F88/100*IF(OR($AB88="",$AC88="",N($AC88)&lt;1,N($AC88)&gt;24),0,IF($AE88=0,INDEX(Engine_Grid,0+$AB88,$AD88),IF(OR($AD88&gt;=24,INDEX(Engine_Grid,0+$AB88,$AD88)=0,INDEX(Engine_Grid,0+$AB88,$AD88+1)=0),0,INDEX(Engine_Grid,0+$AB88,$AD88)*(1-$AE88)+INDEX(Engine_Grid,0+$AB88,$AD88+1)*$AE88)))*IF(N($D88)&lt;1,1,$D88))</f>
        <v>0</v>
      </c>
      <c r="AI88" s="39" t="n">
        <f aca="false">IF(N($F88)&lt;=0,0,$F88/100*IF(OR($AB88="",$AC88="",N($AC88)&lt;1,N($AC88)&gt;24),0,IF($AE88=0,INDEX(Engine_Grid,75+$AB88,$AD88),IF(OR($AD88&gt;=24,INDEX(Engine_Grid,75+$AB88,$AD88)=0,INDEX(Engine_Grid,75+$AB88,$AD88+1)=0),0,INDEX(Engine_Grid,75+$AB88,$AD88)*(1-$AE88)+INDEX(Engine_Grid,75+$AB88,$AD88+1)*$AE88)))*IF(N($D88)&lt;1,1,$D88))</f>
        <v>0</v>
      </c>
      <c r="AJ88" s="39" t="n">
        <f aca="false">IF(N($F88)&lt;=0,0,$F88/100*IF(OR($AB88="",$AC88="",N($AC88)&lt;1,N($AC88)&gt;24),0,IF($AE88=0,INDEX(Engine_Grid,150+$AB88,$AD88),IF(OR($AD88&gt;=24,INDEX(Engine_Grid,150+$AB88,$AD88)=0,INDEX(Engine_Grid,150+$AB88,$AD88+1)=0),0,INDEX(Engine_Grid,150+$AB88,$AD88)*(1-$AE88)+INDEX(Engine_Grid,150+$AB88,$AD88+1)*$AE88)))*IF(N($D88)&lt;1,1,$D88))</f>
        <v>0</v>
      </c>
      <c r="AK88" s="39" t="n">
        <f aca="false">IF(N($F88)&lt;=0,0,$F88/100*IF(OR($AB88="",$AC88="",N($AC88)&lt;1,N($AC88)&gt;24),0,IF($AE88=0,INDEX(Engine_Grid,225+$AB88,$AD88),IF(OR($AD88&gt;=24,INDEX(Engine_Grid,225+$AB88,$AD88)=0,INDEX(Engine_Grid,225+$AB88,$AD88+1)=0),0,INDEX(Engine_Grid,225+$AB88,$AD88)*(1-$AE88)+INDEX(Engine_Grid,225+$AB88,$AD88+1)*$AE88)))*IF(N($D88)&lt;1,1,$D88))</f>
        <v>0</v>
      </c>
    </row>
    <row r="89" customFormat="false" ht="15" hidden="false" customHeight="false" outlineLevel="0" collapsed="false">
      <c r="A89" s="31" t="n">
        <v>80</v>
      </c>
      <c r="B89" s="11"/>
      <c r="C89" s="11"/>
      <c r="D89" s="32"/>
      <c r="E89" s="33"/>
      <c r="F89" s="34"/>
      <c r="G89" s="35" t="str">
        <f aca="false">IF($AB89="","",IF(INDEX(Lib_Basis,$AB89)="Piece","pcs","cm"))</f>
        <v/>
      </c>
      <c r="H89" s="36" t="n">
        <f aca="false">IF(OR($AB89="",$AC89="",N($AC89)&lt;1,N($AC89)&gt;24),0,IF($AE89=0,INDEX(Engine_Grid,(WeightIdx-1)*75+$AB89,$AD89),IF(OR($AD89&gt;=24,INDEX(Engine_Grid,(WeightIdx-1)*75+$AB89,$AD89)=0,INDEX(Engine_Grid,(WeightIdx-1)*75+$AB89,$AD89+1)=0),0,INDEX(Engine_Grid,(WeightIdx-1)*75+$AB89,$AD89)*(1-$AE89)+INDEX(Engine_Grid,(WeightIdx-1)*75+$AB89,$AD89+1)*$AE89)))</f>
        <v>0</v>
      </c>
      <c r="I89" s="37" t="n">
        <f aca="false">IF(OR($H89=0,N($F89)&lt;=0),0,$F89/100*$H89*IF(N($D89)&lt;1,1,$D89))</f>
        <v>0</v>
      </c>
      <c r="J89" s="38" t="str">
        <f aca="false">IF($AB89="","",INDEX(Lib_Needle,$AB89))</f>
        <v/>
      </c>
      <c r="K89" s="38" t="str">
        <f aca="false">IF($AB89="","",INDEX(Lib_Bobbin,$AB89))</f>
        <v/>
      </c>
      <c r="L89" s="38" t="str">
        <f aca="false">IF($AB89="","",INDEX(Lib_Looper,$AB89))</f>
        <v/>
      </c>
      <c r="M89" s="38" t="str">
        <f aca="false">IF($AB89="","",INDEX(Lib_Cover,$AB89))</f>
        <v/>
      </c>
      <c r="N89" s="11"/>
      <c r="O89" s="39" t="n">
        <f aca="false">IF($I89=0,0,IF($AF89="Y",$I89*$J89/IF(N($D89)&lt;1,1,$D89),$I89*$J89))</f>
        <v>0</v>
      </c>
      <c r="P89" s="11"/>
      <c r="Q89" s="39" t="n">
        <f aca="false">IF(AND($I89&gt;0,$AF89="Y",IF(N($D89)&lt;1,1,$D89)&gt;=2),$I89*$J89/IF(N($D89)&lt;1,1,$D89),0)</f>
        <v>0</v>
      </c>
      <c r="R89" s="11"/>
      <c r="S89" s="39" t="n">
        <f aca="false">IF(AND($I89&gt;0,$AF89="Y",IF(N($D89)&lt;1,1,$D89)&gt;=3),$I89*$J89/IF(N($D89)&lt;1,1,$D89),0)</f>
        <v>0</v>
      </c>
      <c r="T89" s="11"/>
      <c r="U89" s="39" t="n">
        <f aca="false">IF($I89=0,0,$I89*$K89)</f>
        <v>0</v>
      </c>
      <c r="V89" s="11"/>
      <c r="W89" s="39" t="n">
        <f aca="false">IF($I89=0,0,$I89*$L89)</f>
        <v>0</v>
      </c>
      <c r="X89" s="11"/>
      <c r="Y89" s="39" t="n">
        <f aca="false">IF($I89=0,0,$I89*$M89)</f>
        <v>0</v>
      </c>
      <c r="Z89" s="39" t="n">
        <f aca="false">IF($N89="",$O89,0)+IF($P89="",$Q89,0)+IF($R89="",$S89,0)+IF($T89="",$U89,0)+IF($V89="",$W89,0)+IF($X89="",$Y89,0)+IF(AND($AF89="Y",IF(N($D89)&lt;1,1,$D89)&gt;3),$I89*$J89*(IF(N($D89)&lt;1,1,$D89)-3)/IF(N($D89)&lt;1,1,$D89),0)</f>
        <v>0</v>
      </c>
      <c r="AA89" s="40" t="str">
        <f aca="false">IF(AND($C89="",N($F89)=0),"",IF($C89="","⚠ Select a stitch type",IF($AB89="","⚠ Stitch not in library",IF(N($F89)&lt;=0,"⚠ Enter "&amp;IF($G89="pcs","quantity","seam length (cm)"),IF(AND($G89="cm",N($E89)&lt;=0),"⚠ Enter SPI",IF($H89=0,"⚠ No factor at SPI "&amp;$E89&amp;" – valid "&amp;INDEX(Lib_MinSPI,$AB89)&amp;"–"&amp;INDEX(Lib_MaxSPI,$AB89),IF(AND($AF89="Y",IF(N($D89)&lt;1,1,$D89)&gt;3),"⚠ More than 3 rows – thread for extra rows not allocated",IF($Z89&gt;0.00001,"⚠ Assign threads ("&amp;TEXT($Z89,"0.00")&amp;" m unassigned)","✔ OK"))))))))</f>
        <v/>
      </c>
      <c r="AB89" s="16" t="str">
        <f aca="false">IF($C89="","",IFERROR(MATCH($C89,Lib_Names,0),""))</f>
        <v/>
      </c>
      <c r="AC89" s="41" t="str">
        <f aca="false">IF($AB89="","",IF(INDEX(Lib_Basis,$AB89)="Piece",1,N($E89)))</f>
        <v/>
      </c>
      <c r="AD89" s="16" t="str">
        <f aca="false">IF($AC89="","",INT($AC89))</f>
        <v/>
      </c>
      <c r="AE89" s="17" t="str">
        <f aca="false">IF($AC89="","",$AC89-$AD89)</f>
        <v/>
      </c>
      <c r="AF89" s="35" t="str">
        <f aca="false">IF($AB89="","",INDEX(Lib_Multi,$AB89))</f>
        <v/>
      </c>
      <c r="AG89" s="42" t="str">
        <f aca="false">IF($AB89="","",INDEX(Lib_Cat,$AB89))</f>
        <v/>
      </c>
      <c r="AH89" s="39" t="n">
        <f aca="false">IF(N($F89)&lt;=0,0,$F89/100*IF(OR($AB89="",$AC89="",N($AC89)&lt;1,N($AC89)&gt;24),0,IF($AE89=0,INDEX(Engine_Grid,0+$AB89,$AD89),IF(OR($AD89&gt;=24,INDEX(Engine_Grid,0+$AB89,$AD89)=0,INDEX(Engine_Grid,0+$AB89,$AD89+1)=0),0,INDEX(Engine_Grid,0+$AB89,$AD89)*(1-$AE89)+INDEX(Engine_Grid,0+$AB89,$AD89+1)*$AE89)))*IF(N($D89)&lt;1,1,$D89))</f>
        <v>0</v>
      </c>
      <c r="AI89" s="39" t="n">
        <f aca="false">IF(N($F89)&lt;=0,0,$F89/100*IF(OR($AB89="",$AC89="",N($AC89)&lt;1,N($AC89)&gt;24),0,IF($AE89=0,INDEX(Engine_Grid,75+$AB89,$AD89),IF(OR($AD89&gt;=24,INDEX(Engine_Grid,75+$AB89,$AD89)=0,INDEX(Engine_Grid,75+$AB89,$AD89+1)=0),0,INDEX(Engine_Grid,75+$AB89,$AD89)*(1-$AE89)+INDEX(Engine_Grid,75+$AB89,$AD89+1)*$AE89)))*IF(N($D89)&lt;1,1,$D89))</f>
        <v>0</v>
      </c>
      <c r="AJ89" s="39" t="n">
        <f aca="false">IF(N($F89)&lt;=0,0,$F89/100*IF(OR($AB89="",$AC89="",N($AC89)&lt;1,N($AC89)&gt;24),0,IF($AE89=0,INDEX(Engine_Grid,150+$AB89,$AD89),IF(OR($AD89&gt;=24,INDEX(Engine_Grid,150+$AB89,$AD89)=0,INDEX(Engine_Grid,150+$AB89,$AD89+1)=0),0,INDEX(Engine_Grid,150+$AB89,$AD89)*(1-$AE89)+INDEX(Engine_Grid,150+$AB89,$AD89+1)*$AE89)))*IF(N($D89)&lt;1,1,$D89))</f>
        <v>0</v>
      </c>
      <c r="AK89" s="39" t="n">
        <f aca="false">IF(N($F89)&lt;=0,0,$F89/100*IF(OR($AB89="",$AC89="",N($AC89)&lt;1,N($AC89)&gt;24),0,IF($AE89=0,INDEX(Engine_Grid,225+$AB89,$AD89),IF(OR($AD89&gt;=24,INDEX(Engine_Grid,225+$AB89,$AD89)=0,INDEX(Engine_Grid,225+$AB89,$AD89+1)=0),0,INDEX(Engine_Grid,225+$AB89,$AD89)*(1-$AE89)+INDEX(Engine_Grid,225+$AB89,$AD89+1)*$AE89)))*IF(N($D89)&lt;1,1,$D89))</f>
        <v>0</v>
      </c>
    </row>
    <row r="90" customFormat="false" ht="15" hidden="false" customHeight="false" outlineLevel="0" collapsed="false">
      <c r="A90" s="43"/>
      <c r="B90" s="44" t="s">
        <v>171</v>
      </c>
      <c r="C90" s="43"/>
      <c r="D90" s="43"/>
      <c r="E90" s="43"/>
      <c r="F90" s="43"/>
      <c r="G90" s="43"/>
      <c r="H90" s="43"/>
      <c r="I90" s="45" t="n">
        <f aca="false">SUM(I10:I89)</f>
        <v>63.2532913385827</v>
      </c>
      <c r="O90" s="45" t="n">
        <f aca="false">SUM(O10:O89)</f>
        <v>21.5333858267717</v>
      </c>
      <c r="Q90" s="45" t="n">
        <f aca="false">SUM(Q10:Q89)</f>
        <v>2.52751181102362</v>
      </c>
      <c r="S90" s="45" t="n">
        <f aca="false">SUM(S10:S89)</f>
        <v>0</v>
      </c>
      <c r="U90" s="45" t="n">
        <f aca="false">SUM(U10:U89)</f>
        <v>6.01144881889764</v>
      </c>
      <c r="W90" s="45" t="n">
        <f aca="false">SUM(W10:W89)</f>
        <v>33.1809448818898</v>
      </c>
      <c r="Y90" s="45" t="n">
        <f aca="false">SUM(Y10:Y89)</f>
        <v>0</v>
      </c>
      <c r="Z90" s="45" t="n">
        <f aca="false">SUM(Z10:Z89)</f>
        <v>0</v>
      </c>
      <c r="AH90" s="45" t="n">
        <f aca="false">SUM(AH10:AH89)</f>
        <v>57.9840787401575</v>
      </c>
      <c r="AI90" s="45" t="n">
        <f aca="false">SUM(AI10:AI89)</f>
        <v>63.2532913385827</v>
      </c>
      <c r="AJ90" s="45" t="n">
        <f aca="false">SUM(AJ10:AJ89)</f>
        <v>71.1450236220473</v>
      </c>
      <c r="AK90" s="45" t="n">
        <f aca="false">SUM(AK10:AK89)</f>
        <v>66.924157480315</v>
      </c>
    </row>
  </sheetData>
  <mergeCells count="18">
    <mergeCell ref="B4:C4"/>
    <mergeCell ref="D4:E4"/>
    <mergeCell ref="F4:H4"/>
    <mergeCell ref="I4:K4"/>
    <mergeCell ref="L4:O4"/>
    <mergeCell ref="P4:S4"/>
    <mergeCell ref="B5:C5"/>
    <mergeCell ref="D5:E5"/>
    <mergeCell ref="F5:H5"/>
    <mergeCell ref="I5:K5"/>
    <mergeCell ref="L5:O5"/>
    <mergeCell ref="P5:S5"/>
    <mergeCell ref="A8:E8"/>
    <mergeCell ref="F8:I8"/>
    <mergeCell ref="J8:M8"/>
    <mergeCell ref="N8:Y8"/>
    <mergeCell ref="Z8:AA8"/>
    <mergeCell ref="AB8:AK8"/>
  </mergeCells>
  <conditionalFormatting sqref="AA10:AA89">
    <cfRule type="expression" priority="2" aboveAverage="0" equalAverage="0" bottom="0" percent="0" rank="0" text="" dxfId="1">
      <formula>LEFT($AA10,1)="⚠"</formula>
    </cfRule>
    <cfRule type="expression" priority="3" aboveAverage="0" equalAverage="0" bottom="0" percent="0" rank="0" text="" dxfId="2">
      <formula>LEFT($AA10,1)="✔"</formula>
    </cfRule>
  </conditionalFormatting>
  <conditionalFormatting sqref="E10:E89">
    <cfRule type="expression" priority="4" aboveAverage="0" equalAverage="0" bottom="0" percent="0" rank="0" text="" dxfId="3">
      <formula>$G10="pcs"</formula>
    </cfRule>
  </conditionalFormatting>
  <conditionalFormatting sqref="Z10:Z89">
    <cfRule type="expression" priority="5" aboveAverage="0" equalAverage="0" bottom="0" percent="0" rank="0" text="" dxfId="4">
      <formula>$Z10&gt;0.00001</formula>
    </cfRule>
  </conditionalFormatting>
  <dataValidations count="5">
    <dataValidation allowBlank="true" error="Pick a stitch type from the list (edit the list on the Stitch Library sheet)." errorStyle="stop" errorTitle="Stitch type" operator="between" showDropDown="false" showErrorMessage="true" showInputMessage="false" sqref="C10:C89" type="list">
      <formula1>Lib_Names</formula1>
      <formula2>0</formula2>
    </dataValidation>
    <dataValidation allowBlank="true" error="Whole number 1–12 (rows of stitching / repeats)." errorStyle="stop" errorTitle="Rows" operator="between" showDropDown="false" showErrorMessage="true" showInputMessage="false" sqref="D10:D89" type="whole">
      <formula1>1</formula1>
      <formula2>12</formula2>
    </dataValidation>
    <dataValidation allowBlank="true" error="SPI between 1 and 24 (decimals are interpolated)." errorStyle="stop" errorTitle="SPI" operator="between" showDropDown="false" showErrorMessage="true" showInputMessage="false" sqref="E10:E89" type="decimal">
      <formula1>1</formula1>
      <formula2>24</formula2>
    </dataValidation>
    <dataValidation allowBlank="true" error="Enter a number ≥ 0." errorStyle="stop" errorTitle="Length / quantity" operator="greaterThanOrEqual" showDropDown="false" showErrorMessage="true" showInputMessage="false" sqref="F10:F89" type="decimal">
      <formula1>0</formula1>
      <formula2>0</formula2>
    </dataValidation>
    <dataValidation allowBlank="true" error="Pick a thread defined in the Setup thread library." errorStyle="stop" errorTitle="Thread" operator="between" showDropDown="false" showErrorMessage="true" showInputMessage="false" sqref="N10:N89 P10:P89 R10:R89 T10:T89 V10:V89 X10:X89" type="list">
      <formula1>Thread_List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3" min="13" style="0" width="14"/>
  </cols>
  <sheetData>
    <row r="1" customFormat="false" ht="19.7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5" customFormat="false" ht="39.75" hidden="false" customHeight="true" outlineLevel="0" collapsed="false">
      <c r="A5" s="13" t="s">
        <v>174</v>
      </c>
      <c r="B5" s="13" t="s">
        <v>175</v>
      </c>
      <c r="C5" s="13" t="s">
        <v>176</v>
      </c>
      <c r="D5" s="13" t="s">
        <v>177</v>
      </c>
      <c r="E5" s="13" t="s">
        <v>178</v>
      </c>
      <c r="F5" s="13" t="s">
        <v>179</v>
      </c>
      <c r="G5" s="13" t="s">
        <v>180</v>
      </c>
      <c r="H5" s="13" t="s">
        <v>181</v>
      </c>
      <c r="I5" s="13" t="s">
        <v>182</v>
      </c>
      <c r="J5" s="13" t="s">
        <v>183</v>
      </c>
      <c r="K5" s="13" t="s">
        <v>184</v>
      </c>
      <c r="L5" s="13" t="s">
        <v>185</v>
      </c>
      <c r="M5" s="13" t="s">
        <v>186</v>
      </c>
    </row>
    <row r="6" customFormat="false" ht="15" hidden="false" customHeight="false" outlineLevel="0" collapsed="false">
      <c r="A6" s="31" t="n">
        <v>1</v>
      </c>
      <c r="B6" s="46" t="str">
        <f aca="false">IF(Setup!B31="","",Setup!B31)</f>
        <v>Tex 40 Spun Poly – Khaki (needle)</v>
      </c>
      <c r="C6" s="47" t="n">
        <f aca="false">IF($B6="","",SUMIF(Operations!$N$10:$N$89,$B6,Operations!$O$10:$O$89)+SUMIF(Operations!$P$10:$P$89,$B6,Operations!$Q$10:$Q$89)+SUMIF(Operations!$R$10:$R$89,$B6,Operations!$S$10:$S$89)+SUMIF(Operations!$T$10:$T$89,$B6,Operations!$U$10:$U$89)+SUMIF(Operations!$V$10:$V$89,$B6,Operations!$W$10:$W$89)+SUMIF(Operations!$X$10:$X$89,$B6,Operations!$Y$10:$Y$89))</f>
        <v>22.9772976377953</v>
      </c>
      <c r="D6" s="47" t="n">
        <f aca="false">IF($B6="","",C6*Waste_Pct)</f>
        <v>2.29772976377953</v>
      </c>
      <c r="E6" s="48" t="n">
        <f aca="false">IF($B6="","",C6+D6)</f>
        <v>25.2750274015748</v>
      </c>
      <c r="F6" s="49" t="n">
        <f aca="false">IF(OR($B6="",$E$21=0),"",E6/$E$21)</f>
        <v>0.363258530134064</v>
      </c>
      <c r="G6" s="50" t="n">
        <f aca="false">IF($B6="","",IF(Setup!C31="","",Setup!C31))</f>
        <v>5000</v>
      </c>
      <c r="H6" s="51" t="n">
        <f aca="false">IF($B6="","",IF(Setup!D31="","",Setup!D31))</f>
        <v>3.8</v>
      </c>
      <c r="I6" s="52" t="n">
        <f aca="false">IF($B6="","",IF(Setup!E31="","",Setup!E31))</f>
        <v>0.00076</v>
      </c>
      <c r="J6" s="53" t="n">
        <f aca="false">IF(OR($B6="",I6=""),"",E6*I6)</f>
        <v>0.0192090208251969</v>
      </c>
      <c r="K6" s="54" t="n">
        <f aca="false">IF(OR($B6="",N(G6)=0),"",Prog_Size*E6/G6)</f>
        <v>50.5500548031496</v>
      </c>
      <c r="L6" s="55" t="n">
        <f aca="false">IF(K6="","",ROUNDUP(K6,0))</f>
        <v>51</v>
      </c>
      <c r="M6" s="56" t="n">
        <f aca="false">IF(OR(L6="",N(H6)=0),"",L6*H6)</f>
        <v>193.8</v>
      </c>
    </row>
    <row r="7" customFormat="false" ht="15" hidden="false" customHeight="false" outlineLevel="0" collapsed="false">
      <c r="A7" s="31" t="n">
        <v>2</v>
      </c>
      <c r="B7" s="46" t="str">
        <f aca="false">IF(Setup!B32="","",Setup!B32)</f>
        <v>Tex 60 Spun Poly – Khaki (bobbin / looper)</v>
      </c>
      <c r="C7" s="47" t="n">
        <f aca="false">IF($B7="","",SUMIF(Operations!$N$10:$N$89,$B7,Operations!$O$10:$O$89)+SUMIF(Operations!$P$10:$P$89,$B7,Operations!$Q$10:$Q$89)+SUMIF(Operations!$R$10:$R$89,$B7,Operations!$S$10:$S$89)+SUMIF(Operations!$T$10:$T$89,$B7,Operations!$U$10:$U$89)+SUMIF(Operations!$V$10:$V$89,$B7,Operations!$W$10:$W$89)+SUMIF(Operations!$X$10:$X$89,$B7,Operations!$Y$10:$Y$89))</f>
        <v>38.8559937007874</v>
      </c>
      <c r="D7" s="47" t="n">
        <f aca="false">IF($B7="","",C7*Waste_Pct)</f>
        <v>3.88559937007874</v>
      </c>
      <c r="E7" s="48" t="n">
        <f aca="false">IF($B7="","",C7+D7)</f>
        <v>42.7415930708661</v>
      </c>
      <c r="F7" s="49" t="n">
        <f aca="false">IF(OR($B7="",$E$21=0),"",E7/$E$21)</f>
        <v>0.614292045180681</v>
      </c>
      <c r="G7" s="50" t="n">
        <f aca="false">IF($B7="","",IF(Setup!C32="","",Setup!C32))</f>
        <v>5000</v>
      </c>
      <c r="H7" s="51" t="n">
        <f aca="false">IF($B7="","",IF(Setup!D32="","",Setup!D32))</f>
        <v>3.2</v>
      </c>
      <c r="I7" s="52" t="n">
        <f aca="false">IF($B7="","",IF(Setup!E32="","",Setup!E32))</f>
        <v>0.00064</v>
      </c>
      <c r="J7" s="53" t="n">
        <f aca="false">IF(OR($B7="",I7=""),"",E7*I7)</f>
        <v>0.0273546195653543</v>
      </c>
      <c r="K7" s="54" t="n">
        <f aca="false">IF(OR($B7="",N(G7)=0),"",Prog_Size*E7/G7)</f>
        <v>85.4831861417323</v>
      </c>
      <c r="L7" s="55" t="n">
        <f aca="false">IF(K7="","",ROUNDUP(K7,0))</f>
        <v>86</v>
      </c>
      <c r="M7" s="56" t="n">
        <f aca="false">IF(OR(L7="",N(H7)=0),"",L7*H7)</f>
        <v>275.2</v>
      </c>
    </row>
    <row r="8" customFormat="false" ht="15" hidden="false" customHeight="false" outlineLevel="0" collapsed="false">
      <c r="A8" s="31" t="n">
        <v>3</v>
      </c>
      <c r="B8" s="46" t="str">
        <f aca="false">IF(Setup!B33="","",Setup!B33)</f>
        <v>Tex 27 Core Poly – Khaki (bartack / buttonhole)</v>
      </c>
      <c r="C8" s="47" t="n">
        <f aca="false">IF($B8="","",SUMIF(Operations!$N$10:$N$89,$B8,Operations!$O$10:$O$89)+SUMIF(Operations!$P$10:$P$89,$B8,Operations!$Q$10:$Q$89)+SUMIF(Operations!$R$10:$R$89,$B8,Operations!$S$10:$S$89)+SUMIF(Operations!$T$10:$T$89,$B8,Operations!$U$10:$U$89)+SUMIF(Operations!$V$10:$V$89,$B8,Operations!$W$10:$W$89)+SUMIF(Operations!$X$10:$X$89,$B8,Operations!$Y$10:$Y$89))</f>
        <v>1.42</v>
      </c>
      <c r="D8" s="47" t="n">
        <f aca="false">IF($B8="","",C8*Waste_Pct)</f>
        <v>0.142</v>
      </c>
      <c r="E8" s="48" t="n">
        <f aca="false">IF($B8="","",C8+D8)</f>
        <v>1.562</v>
      </c>
      <c r="F8" s="49" t="n">
        <f aca="false">IF(OR($B8="",$E$21=0),"",E8/$E$21)</f>
        <v>0.0224494246852549</v>
      </c>
      <c r="G8" s="50" t="n">
        <f aca="false">IF($B8="","",IF(Setup!C33="","",Setup!C33))</f>
        <v>3000</v>
      </c>
      <c r="H8" s="51" t="n">
        <f aca="false">IF($B8="","",IF(Setup!D33="","",Setup!D33))</f>
        <v>2.6</v>
      </c>
      <c r="I8" s="52" t="n">
        <f aca="false">IF($B8="","",IF(Setup!E33="","",Setup!E33))</f>
        <v>0.000866666666666667</v>
      </c>
      <c r="J8" s="53" t="n">
        <f aca="false">IF(OR($B8="",I8=""),"",E8*I8)</f>
        <v>0.00135373333333333</v>
      </c>
      <c r="K8" s="54" t="n">
        <f aca="false">IF(OR($B8="",N(G8)=0),"",Prog_Size*E8/G8)</f>
        <v>5.20666666666667</v>
      </c>
      <c r="L8" s="55" t="n">
        <f aca="false">IF(K8="","",ROUNDUP(K8,0))</f>
        <v>6</v>
      </c>
      <c r="M8" s="56" t="n">
        <f aca="false">IF(OR(L8="",N(H8)=0),"",L8*H8)</f>
        <v>15.6</v>
      </c>
    </row>
    <row r="9" customFormat="false" ht="15" hidden="false" customHeight="false" outlineLevel="0" collapsed="false">
      <c r="A9" s="31" t="n">
        <v>4</v>
      </c>
      <c r="B9" s="46" t="str">
        <f aca="false">IF(Setup!B34="","",Setup!B34)</f>
        <v/>
      </c>
      <c r="C9" s="47" t="str">
        <f aca="false">IF($B9="","",SUMIF(Operations!$N$10:$N$89,$B9,Operations!$O$10:$O$89)+SUMIF(Operations!$P$10:$P$89,$B9,Operations!$Q$10:$Q$89)+SUMIF(Operations!$R$10:$R$89,$B9,Operations!$S$10:$S$89)+SUMIF(Operations!$T$10:$T$89,$B9,Operations!$U$10:$U$89)+SUMIF(Operations!$V$10:$V$89,$B9,Operations!$W$10:$W$89)+SUMIF(Operations!$X$10:$X$89,$B9,Operations!$Y$10:$Y$89))</f>
        <v/>
      </c>
      <c r="D9" s="47" t="str">
        <f aca="false">IF($B9="","",C9*Waste_Pct)</f>
        <v/>
      </c>
      <c r="E9" s="48" t="str">
        <f aca="false">IF($B9="","",C9+D9)</f>
        <v/>
      </c>
      <c r="F9" s="49" t="str">
        <f aca="false">IF(OR($B9="",$E$21=0),"",E9/$E$21)</f>
        <v/>
      </c>
      <c r="G9" s="50" t="str">
        <f aca="false">IF($B9="","",IF(Setup!C34="","",Setup!C34))</f>
        <v/>
      </c>
      <c r="H9" s="51" t="str">
        <f aca="false">IF($B9="","",IF(Setup!D34="","",Setup!D34))</f>
        <v/>
      </c>
      <c r="I9" s="52" t="str">
        <f aca="false">IF($B9="","",IF(Setup!E34="","",Setup!E34))</f>
        <v/>
      </c>
      <c r="J9" s="53" t="str">
        <f aca="false">IF(OR($B9="",I9=""),"",E9*I9)</f>
        <v/>
      </c>
      <c r="K9" s="54" t="str">
        <f aca="false">IF(OR($B9="",N(G9)=0),"",Prog_Size*E9/G9)</f>
        <v/>
      </c>
      <c r="L9" s="55" t="str">
        <f aca="false">IF(K9="","",ROUNDUP(K9,0))</f>
        <v/>
      </c>
      <c r="M9" s="56" t="str">
        <f aca="false">IF(OR(L9="",N(H9)=0),"",L9*H9)</f>
        <v/>
      </c>
    </row>
    <row r="10" customFormat="false" ht="15" hidden="false" customHeight="false" outlineLevel="0" collapsed="false">
      <c r="A10" s="31" t="n">
        <v>5</v>
      </c>
      <c r="B10" s="46" t="str">
        <f aca="false">IF(Setup!B35="","",Setup!B35)</f>
        <v/>
      </c>
      <c r="C10" s="47" t="str">
        <f aca="false">IF($B10="","",SUMIF(Operations!$N$10:$N$89,$B10,Operations!$O$10:$O$89)+SUMIF(Operations!$P$10:$P$89,$B10,Operations!$Q$10:$Q$89)+SUMIF(Operations!$R$10:$R$89,$B10,Operations!$S$10:$S$89)+SUMIF(Operations!$T$10:$T$89,$B10,Operations!$U$10:$U$89)+SUMIF(Operations!$V$10:$V$89,$B10,Operations!$W$10:$W$89)+SUMIF(Operations!$X$10:$X$89,$B10,Operations!$Y$10:$Y$89))</f>
        <v/>
      </c>
      <c r="D10" s="47" t="str">
        <f aca="false">IF($B10="","",C10*Waste_Pct)</f>
        <v/>
      </c>
      <c r="E10" s="48" t="str">
        <f aca="false">IF($B10="","",C10+D10)</f>
        <v/>
      </c>
      <c r="F10" s="49" t="str">
        <f aca="false">IF(OR($B10="",$E$21=0),"",E10/$E$21)</f>
        <v/>
      </c>
      <c r="G10" s="50" t="str">
        <f aca="false">IF($B10="","",IF(Setup!C35="","",Setup!C35))</f>
        <v/>
      </c>
      <c r="H10" s="51" t="str">
        <f aca="false">IF($B10="","",IF(Setup!D35="","",Setup!D35))</f>
        <v/>
      </c>
      <c r="I10" s="52" t="str">
        <f aca="false">IF($B10="","",IF(Setup!E35="","",Setup!E35))</f>
        <v/>
      </c>
      <c r="J10" s="53" t="str">
        <f aca="false">IF(OR($B10="",I10=""),"",E10*I10)</f>
        <v/>
      </c>
      <c r="K10" s="54" t="str">
        <f aca="false">IF(OR($B10="",N(G10)=0),"",Prog_Size*E10/G10)</f>
        <v/>
      </c>
      <c r="L10" s="55" t="str">
        <f aca="false">IF(K10="","",ROUNDUP(K10,0))</f>
        <v/>
      </c>
      <c r="M10" s="56" t="str">
        <f aca="false">IF(OR(L10="",N(H10)=0),"",L10*H10)</f>
        <v/>
      </c>
    </row>
    <row r="11" customFormat="false" ht="15" hidden="false" customHeight="false" outlineLevel="0" collapsed="false">
      <c r="A11" s="31" t="n">
        <v>6</v>
      </c>
      <c r="B11" s="46" t="str">
        <f aca="false">IF(Setup!B36="","",Setup!B36)</f>
        <v/>
      </c>
      <c r="C11" s="47" t="str">
        <f aca="false">IF($B11="","",SUMIF(Operations!$N$10:$N$89,$B11,Operations!$O$10:$O$89)+SUMIF(Operations!$P$10:$P$89,$B11,Operations!$Q$10:$Q$89)+SUMIF(Operations!$R$10:$R$89,$B11,Operations!$S$10:$S$89)+SUMIF(Operations!$T$10:$T$89,$B11,Operations!$U$10:$U$89)+SUMIF(Operations!$V$10:$V$89,$B11,Operations!$W$10:$W$89)+SUMIF(Operations!$X$10:$X$89,$B11,Operations!$Y$10:$Y$89))</f>
        <v/>
      </c>
      <c r="D11" s="47" t="str">
        <f aca="false">IF($B11="","",C11*Waste_Pct)</f>
        <v/>
      </c>
      <c r="E11" s="48" t="str">
        <f aca="false">IF($B11="","",C11+D11)</f>
        <v/>
      </c>
      <c r="F11" s="49" t="str">
        <f aca="false">IF(OR($B11="",$E$21=0),"",E11/$E$21)</f>
        <v/>
      </c>
      <c r="G11" s="50" t="str">
        <f aca="false">IF($B11="","",IF(Setup!C36="","",Setup!C36))</f>
        <v/>
      </c>
      <c r="H11" s="51" t="str">
        <f aca="false">IF($B11="","",IF(Setup!D36="","",Setup!D36))</f>
        <v/>
      </c>
      <c r="I11" s="52" t="str">
        <f aca="false">IF($B11="","",IF(Setup!E36="","",Setup!E36))</f>
        <v/>
      </c>
      <c r="J11" s="53" t="str">
        <f aca="false">IF(OR($B11="",I11=""),"",E11*I11)</f>
        <v/>
      </c>
      <c r="K11" s="54" t="str">
        <f aca="false">IF(OR($B11="",N(G11)=0),"",Prog_Size*E11/G11)</f>
        <v/>
      </c>
      <c r="L11" s="55" t="str">
        <f aca="false">IF(K11="","",ROUNDUP(K11,0))</f>
        <v/>
      </c>
      <c r="M11" s="56" t="str">
        <f aca="false">IF(OR(L11="",N(H11)=0),"",L11*H11)</f>
        <v/>
      </c>
    </row>
    <row r="12" customFormat="false" ht="15" hidden="false" customHeight="false" outlineLevel="0" collapsed="false">
      <c r="A12" s="31" t="n">
        <v>7</v>
      </c>
      <c r="B12" s="46" t="str">
        <f aca="false">IF(Setup!B37="","",Setup!B37)</f>
        <v/>
      </c>
      <c r="C12" s="47" t="str">
        <f aca="false">IF($B12="","",SUMIF(Operations!$N$10:$N$89,$B12,Operations!$O$10:$O$89)+SUMIF(Operations!$P$10:$P$89,$B12,Operations!$Q$10:$Q$89)+SUMIF(Operations!$R$10:$R$89,$B12,Operations!$S$10:$S$89)+SUMIF(Operations!$T$10:$T$89,$B12,Operations!$U$10:$U$89)+SUMIF(Operations!$V$10:$V$89,$B12,Operations!$W$10:$W$89)+SUMIF(Operations!$X$10:$X$89,$B12,Operations!$Y$10:$Y$89))</f>
        <v/>
      </c>
      <c r="D12" s="47" t="str">
        <f aca="false">IF($B12="","",C12*Waste_Pct)</f>
        <v/>
      </c>
      <c r="E12" s="48" t="str">
        <f aca="false">IF($B12="","",C12+D12)</f>
        <v/>
      </c>
      <c r="F12" s="49" t="str">
        <f aca="false">IF(OR($B12="",$E$21=0),"",E12/$E$21)</f>
        <v/>
      </c>
      <c r="G12" s="50" t="str">
        <f aca="false">IF($B12="","",IF(Setup!C37="","",Setup!C37))</f>
        <v/>
      </c>
      <c r="H12" s="51" t="str">
        <f aca="false">IF($B12="","",IF(Setup!D37="","",Setup!D37))</f>
        <v/>
      </c>
      <c r="I12" s="52" t="str">
        <f aca="false">IF($B12="","",IF(Setup!E37="","",Setup!E37))</f>
        <v/>
      </c>
      <c r="J12" s="53" t="str">
        <f aca="false">IF(OR($B12="",I12=""),"",E12*I12)</f>
        <v/>
      </c>
      <c r="K12" s="54" t="str">
        <f aca="false">IF(OR($B12="",N(G12)=0),"",Prog_Size*E12/G12)</f>
        <v/>
      </c>
      <c r="L12" s="55" t="str">
        <f aca="false">IF(K12="","",ROUNDUP(K12,0))</f>
        <v/>
      </c>
      <c r="M12" s="56" t="str">
        <f aca="false">IF(OR(L12="",N(H12)=0),"",L12*H12)</f>
        <v/>
      </c>
    </row>
    <row r="13" customFormat="false" ht="15" hidden="false" customHeight="false" outlineLevel="0" collapsed="false">
      <c r="A13" s="31" t="n">
        <v>8</v>
      </c>
      <c r="B13" s="46" t="str">
        <f aca="false">IF(Setup!B38="","",Setup!B38)</f>
        <v/>
      </c>
      <c r="C13" s="47" t="str">
        <f aca="false">IF($B13="","",SUMIF(Operations!$N$10:$N$89,$B13,Operations!$O$10:$O$89)+SUMIF(Operations!$P$10:$P$89,$B13,Operations!$Q$10:$Q$89)+SUMIF(Operations!$R$10:$R$89,$B13,Operations!$S$10:$S$89)+SUMIF(Operations!$T$10:$T$89,$B13,Operations!$U$10:$U$89)+SUMIF(Operations!$V$10:$V$89,$B13,Operations!$W$10:$W$89)+SUMIF(Operations!$X$10:$X$89,$B13,Operations!$Y$10:$Y$89))</f>
        <v/>
      </c>
      <c r="D13" s="47" t="str">
        <f aca="false">IF($B13="","",C13*Waste_Pct)</f>
        <v/>
      </c>
      <c r="E13" s="48" t="str">
        <f aca="false">IF($B13="","",C13+D13)</f>
        <v/>
      </c>
      <c r="F13" s="49" t="str">
        <f aca="false">IF(OR($B13="",$E$21=0),"",E13/$E$21)</f>
        <v/>
      </c>
      <c r="G13" s="50" t="str">
        <f aca="false">IF($B13="","",IF(Setup!C38="","",Setup!C38))</f>
        <v/>
      </c>
      <c r="H13" s="51" t="str">
        <f aca="false">IF($B13="","",IF(Setup!D38="","",Setup!D38))</f>
        <v/>
      </c>
      <c r="I13" s="52" t="str">
        <f aca="false">IF($B13="","",IF(Setup!E38="","",Setup!E38))</f>
        <v/>
      </c>
      <c r="J13" s="53" t="str">
        <f aca="false">IF(OR($B13="",I13=""),"",E13*I13)</f>
        <v/>
      </c>
      <c r="K13" s="54" t="str">
        <f aca="false">IF(OR($B13="",N(G13)=0),"",Prog_Size*E13/G13)</f>
        <v/>
      </c>
      <c r="L13" s="55" t="str">
        <f aca="false">IF(K13="","",ROUNDUP(K13,0))</f>
        <v/>
      </c>
      <c r="M13" s="56" t="str">
        <f aca="false">IF(OR(L13="",N(H13)=0),"",L13*H13)</f>
        <v/>
      </c>
    </row>
    <row r="14" customFormat="false" ht="15" hidden="false" customHeight="false" outlineLevel="0" collapsed="false">
      <c r="A14" s="31" t="n">
        <v>9</v>
      </c>
      <c r="B14" s="46" t="str">
        <f aca="false">IF(Setup!B39="","",Setup!B39)</f>
        <v/>
      </c>
      <c r="C14" s="47" t="str">
        <f aca="false">IF($B14="","",SUMIF(Operations!$N$10:$N$89,$B14,Operations!$O$10:$O$89)+SUMIF(Operations!$P$10:$P$89,$B14,Operations!$Q$10:$Q$89)+SUMIF(Operations!$R$10:$R$89,$B14,Operations!$S$10:$S$89)+SUMIF(Operations!$T$10:$T$89,$B14,Operations!$U$10:$U$89)+SUMIF(Operations!$V$10:$V$89,$B14,Operations!$W$10:$W$89)+SUMIF(Operations!$X$10:$X$89,$B14,Operations!$Y$10:$Y$89))</f>
        <v/>
      </c>
      <c r="D14" s="47" t="str">
        <f aca="false">IF($B14="","",C14*Waste_Pct)</f>
        <v/>
      </c>
      <c r="E14" s="48" t="str">
        <f aca="false">IF($B14="","",C14+D14)</f>
        <v/>
      </c>
      <c r="F14" s="49" t="str">
        <f aca="false">IF(OR($B14="",$E$21=0),"",E14/$E$21)</f>
        <v/>
      </c>
      <c r="G14" s="50" t="str">
        <f aca="false">IF($B14="","",IF(Setup!C39="","",Setup!C39))</f>
        <v/>
      </c>
      <c r="H14" s="51" t="str">
        <f aca="false">IF($B14="","",IF(Setup!D39="","",Setup!D39))</f>
        <v/>
      </c>
      <c r="I14" s="52" t="str">
        <f aca="false">IF($B14="","",IF(Setup!E39="","",Setup!E39))</f>
        <v/>
      </c>
      <c r="J14" s="53" t="str">
        <f aca="false">IF(OR($B14="",I14=""),"",E14*I14)</f>
        <v/>
      </c>
      <c r="K14" s="54" t="str">
        <f aca="false">IF(OR($B14="",N(G14)=0),"",Prog_Size*E14/G14)</f>
        <v/>
      </c>
      <c r="L14" s="55" t="str">
        <f aca="false">IF(K14="","",ROUNDUP(K14,0))</f>
        <v/>
      </c>
      <c r="M14" s="56" t="str">
        <f aca="false">IF(OR(L14="",N(H14)=0),"",L14*H14)</f>
        <v/>
      </c>
    </row>
    <row r="15" customFormat="false" ht="15" hidden="false" customHeight="false" outlineLevel="0" collapsed="false">
      <c r="A15" s="31" t="n">
        <v>10</v>
      </c>
      <c r="B15" s="46" t="str">
        <f aca="false">IF(Setup!B40="","",Setup!B40)</f>
        <v/>
      </c>
      <c r="C15" s="47" t="str">
        <f aca="false">IF($B15="","",SUMIF(Operations!$N$10:$N$89,$B15,Operations!$O$10:$O$89)+SUMIF(Operations!$P$10:$P$89,$B15,Operations!$Q$10:$Q$89)+SUMIF(Operations!$R$10:$R$89,$B15,Operations!$S$10:$S$89)+SUMIF(Operations!$T$10:$T$89,$B15,Operations!$U$10:$U$89)+SUMIF(Operations!$V$10:$V$89,$B15,Operations!$W$10:$W$89)+SUMIF(Operations!$X$10:$X$89,$B15,Operations!$Y$10:$Y$89))</f>
        <v/>
      </c>
      <c r="D15" s="47" t="str">
        <f aca="false">IF($B15="","",C15*Waste_Pct)</f>
        <v/>
      </c>
      <c r="E15" s="48" t="str">
        <f aca="false">IF($B15="","",C15+D15)</f>
        <v/>
      </c>
      <c r="F15" s="49" t="str">
        <f aca="false">IF(OR($B15="",$E$21=0),"",E15/$E$21)</f>
        <v/>
      </c>
      <c r="G15" s="50" t="str">
        <f aca="false">IF($B15="","",IF(Setup!C40="","",Setup!C40))</f>
        <v/>
      </c>
      <c r="H15" s="51" t="str">
        <f aca="false">IF($B15="","",IF(Setup!D40="","",Setup!D40))</f>
        <v/>
      </c>
      <c r="I15" s="52" t="str">
        <f aca="false">IF($B15="","",IF(Setup!E40="","",Setup!E40))</f>
        <v/>
      </c>
      <c r="J15" s="53" t="str">
        <f aca="false">IF(OR($B15="",I15=""),"",E15*I15)</f>
        <v/>
      </c>
      <c r="K15" s="54" t="str">
        <f aca="false">IF(OR($B15="",N(G15)=0),"",Prog_Size*E15/G15)</f>
        <v/>
      </c>
      <c r="L15" s="55" t="str">
        <f aca="false">IF(K15="","",ROUNDUP(K15,0))</f>
        <v/>
      </c>
      <c r="M15" s="56" t="str">
        <f aca="false">IF(OR(L15="",N(H15)=0),"",L15*H15)</f>
        <v/>
      </c>
    </row>
    <row r="16" customFormat="false" ht="15" hidden="false" customHeight="false" outlineLevel="0" collapsed="false">
      <c r="A16" s="31" t="n">
        <v>11</v>
      </c>
      <c r="B16" s="46" t="str">
        <f aca="false">IF(Setup!B41="","",Setup!B41)</f>
        <v/>
      </c>
      <c r="C16" s="47" t="str">
        <f aca="false">IF($B16="","",SUMIF(Operations!$N$10:$N$89,$B16,Operations!$O$10:$O$89)+SUMIF(Operations!$P$10:$P$89,$B16,Operations!$Q$10:$Q$89)+SUMIF(Operations!$R$10:$R$89,$B16,Operations!$S$10:$S$89)+SUMIF(Operations!$T$10:$T$89,$B16,Operations!$U$10:$U$89)+SUMIF(Operations!$V$10:$V$89,$B16,Operations!$W$10:$W$89)+SUMIF(Operations!$X$10:$X$89,$B16,Operations!$Y$10:$Y$89))</f>
        <v/>
      </c>
      <c r="D16" s="47" t="str">
        <f aca="false">IF($B16="","",C16*Waste_Pct)</f>
        <v/>
      </c>
      <c r="E16" s="48" t="str">
        <f aca="false">IF($B16="","",C16+D16)</f>
        <v/>
      </c>
      <c r="F16" s="49" t="str">
        <f aca="false">IF(OR($B16="",$E$21=0),"",E16/$E$21)</f>
        <v/>
      </c>
      <c r="G16" s="50" t="str">
        <f aca="false">IF($B16="","",IF(Setup!C41="","",Setup!C41))</f>
        <v/>
      </c>
      <c r="H16" s="51" t="str">
        <f aca="false">IF($B16="","",IF(Setup!D41="","",Setup!D41))</f>
        <v/>
      </c>
      <c r="I16" s="52" t="str">
        <f aca="false">IF($B16="","",IF(Setup!E41="","",Setup!E41))</f>
        <v/>
      </c>
      <c r="J16" s="53" t="str">
        <f aca="false">IF(OR($B16="",I16=""),"",E16*I16)</f>
        <v/>
      </c>
      <c r="K16" s="54" t="str">
        <f aca="false">IF(OR($B16="",N(G16)=0),"",Prog_Size*E16/G16)</f>
        <v/>
      </c>
      <c r="L16" s="55" t="str">
        <f aca="false">IF(K16="","",ROUNDUP(K16,0))</f>
        <v/>
      </c>
      <c r="M16" s="56" t="str">
        <f aca="false">IF(OR(L16="",N(H16)=0),"",L16*H16)</f>
        <v/>
      </c>
    </row>
    <row r="17" customFormat="false" ht="15" hidden="false" customHeight="false" outlineLevel="0" collapsed="false">
      <c r="A17" s="31" t="n">
        <v>12</v>
      </c>
      <c r="B17" s="46" t="str">
        <f aca="false">IF(Setup!B42="","",Setup!B42)</f>
        <v/>
      </c>
      <c r="C17" s="47" t="str">
        <f aca="false">IF($B17="","",SUMIF(Operations!$N$10:$N$89,$B17,Operations!$O$10:$O$89)+SUMIF(Operations!$P$10:$P$89,$B17,Operations!$Q$10:$Q$89)+SUMIF(Operations!$R$10:$R$89,$B17,Operations!$S$10:$S$89)+SUMIF(Operations!$T$10:$T$89,$B17,Operations!$U$10:$U$89)+SUMIF(Operations!$V$10:$V$89,$B17,Operations!$W$10:$W$89)+SUMIF(Operations!$X$10:$X$89,$B17,Operations!$Y$10:$Y$89))</f>
        <v/>
      </c>
      <c r="D17" s="47" t="str">
        <f aca="false">IF($B17="","",C17*Waste_Pct)</f>
        <v/>
      </c>
      <c r="E17" s="48" t="str">
        <f aca="false">IF($B17="","",C17+D17)</f>
        <v/>
      </c>
      <c r="F17" s="49" t="str">
        <f aca="false">IF(OR($B17="",$E$21=0),"",E17/$E$21)</f>
        <v/>
      </c>
      <c r="G17" s="50" t="str">
        <f aca="false">IF($B17="","",IF(Setup!C42="","",Setup!C42))</f>
        <v/>
      </c>
      <c r="H17" s="51" t="str">
        <f aca="false">IF($B17="","",IF(Setup!D42="","",Setup!D42))</f>
        <v/>
      </c>
      <c r="I17" s="52" t="str">
        <f aca="false">IF($B17="","",IF(Setup!E42="","",Setup!E42))</f>
        <v/>
      </c>
      <c r="J17" s="53" t="str">
        <f aca="false">IF(OR($B17="",I17=""),"",E17*I17)</f>
        <v/>
      </c>
      <c r="K17" s="54" t="str">
        <f aca="false">IF(OR($B17="",N(G17)=0),"",Prog_Size*E17/G17)</f>
        <v/>
      </c>
      <c r="L17" s="55" t="str">
        <f aca="false">IF(K17="","",ROUNDUP(K17,0))</f>
        <v/>
      </c>
      <c r="M17" s="56" t="str">
        <f aca="false">IF(OR(L17="",N(H17)=0),"",L17*H17)</f>
        <v/>
      </c>
    </row>
    <row r="18" customFormat="false" ht="15" hidden="false" customHeight="false" outlineLevel="0" collapsed="false">
      <c r="A18" s="31" t="n">
        <v>13</v>
      </c>
      <c r="B18" s="46" t="str">
        <f aca="false">IF(Setup!B43="","",Setup!B43)</f>
        <v/>
      </c>
      <c r="C18" s="47" t="str">
        <f aca="false">IF($B18="","",SUMIF(Operations!$N$10:$N$89,$B18,Operations!$O$10:$O$89)+SUMIF(Operations!$P$10:$P$89,$B18,Operations!$Q$10:$Q$89)+SUMIF(Operations!$R$10:$R$89,$B18,Operations!$S$10:$S$89)+SUMIF(Operations!$T$10:$T$89,$B18,Operations!$U$10:$U$89)+SUMIF(Operations!$V$10:$V$89,$B18,Operations!$W$10:$W$89)+SUMIF(Operations!$X$10:$X$89,$B18,Operations!$Y$10:$Y$89))</f>
        <v/>
      </c>
      <c r="D18" s="47" t="str">
        <f aca="false">IF($B18="","",C18*Waste_Pct)</f>
        <v/>
      </c>
      <c r="E18" s="48" t="str">
        <f aca="false">IF($B18="","",C18+D18)</f>
        <v/>
      </c>
      <c r="F18" s="49" t="str">
        <f aca="false">IF(OR($B18="",$E$21=0),"",E18/$E$21)</f>
        <v/>
      </c>
      <c r="G18" s="50" t="str">
        <f aca="false">IF($B18="","",IF(Setup!C43="","",Setup!C43))</f>
        <v/>
      </c>
      <c r="H18" s="51" t="str">
        <f aca="false">IF($B18="","",IF(Setup!D43="","",Setup!D43))</f>
        <v/>
      </c>
      <c r="I18" s="52" t="str">
        <f aca="false">IF($B18="","",IF(Setup!E43="","",Setup!E43))</f>
        <v/>
      </c>
      <c r="J18" s="53" t="str">
        <f aca="false">IF(OR($B18="",I18=""),"",E18*I18)</f>
        <v/>
      </c>
      <c r="K18" s="54" t="str">
        <f aca="false">IF(OR($B18="",N(G18)=0),"",Prog_Size*E18/G18)</f>
        <v/>
      </c>
      <c r="L18" s="55" t="str">
        <f aca="false">IF(K18="","",ROUNDUP(K18,0))</f>
        <v/>
      </c>
      <c r="M18" s="56" t="str">
        <f aca="false">IF(OR(L18="",N(H18)=0),"",L18*H18)</f>
        <v/>
      </c>
    </row>
    <row r="19" customFormat="false" ht="15" hidden="false" customHeight="false" outlineLevel="0" collapsed="false">
      <c r="A19" s="31" t="n">
        <v>14</v>
      </c>
      <c r="B19" s="46" t="str">
        <f aca="false">IF(Setup!B44="","",Setup!B44)</f>
        <v/>
      </c>
      <c r="C19" s="47" t="str">
        <f aca="false">IF($B19="","",SUMIF(Operations!$N$10:$N$89,$B19,Operations!$O$10:$O$89)+SUMIF(Operations!$P$10:$P$89,$B19,Operations!$Q$10:$Q$89)+SUMIF(Operations!$R$10:$R$89,$B19,Operations!$S$10:$S$89)+SUMIF(Operations!$T$10:$T$89,$B19,Operations!$U$10:$U$89)+SUMIF(Operations!$V$10:$V$89,$B19,Operations!$W$10:$W$89)+SUMIF(Operations!$X$10:$X$89,$B19,Operations!$Y$10:$Y$89))</f>
        <v/>
      </c>
      <c r="D19" s="47" t="str">
        <f aca="false">IF($B19="","",C19*Waste_Pct)</f>
        <v/>
      </c>
      <c r="E19" s="48" t="str">
        <f aca="false">IF($B19="","",C19+D19)</f>
        <v/>
      </c>
      <c r="F19" s="49" t="str">
        <f aca="false">IF(OR($B19="",$E$21=0),"",E19/$E$21)</f>
        <v/>
      </c>
      <c r="G19" s="50" t="str">
        <f aca="false">IF($B19="","",IF(Setup!C44="","",Setup!C44))</f>
        <v/>
      </c>
      <c r="H19" s="51" t="str">
        <f aca="false">IF($B19="","",IF(Setup!D44="","",Setup!D44))</f>
        <v/>
      </c>
      <c r="I19" s="52" t="str">
        <f aca="false">IF($B19="","",IF(Setup!E44="","",Setup!E44))</f>
        <v/>
      </c>
      <c r="J19" s="53" t="str">
        <f aca="false">IF(OR($B19="",I19=""),"",E19*I19)</f>
        <v/>
      </c>
      <c r="K19" s="54" t="str">
        <f aca="false">IF(OR($B19="",N(G19)=0),"",Prog_Size*E19/G19)</f>
        <v/>
      </c>
      <c r="L19" s="55" t="str">
        <f aca="false">IF(K19="","",ROUNDUP(K19,0))</f>
        <v/>
      </c>
      <c r="M19" s="56" t="str">
        <f aca="false">IF(OR(L19="",N(H19)=0),"",L19*H19)</f>
        <v/>
      </c>
    </row>
    <row r="20" customFormat="false" ht="15" hidden="false" customHeight="false" outlineLevel="0" collapsed="false">
      <c r="A20" s="31" t="n">
        <v>15</v>
      </c>
      <c r="B20" s="46" t="str">
        <f aca="false">IF(Setup!B45="","",Setup!B45)</f>
        <v/>
      </c>
      <c r="C20" s="47" t="str">
        <f aca="false">IF($B20="","",SUMIF(Operations!$N$10:$N$89,$B20,Operations!$O$10:$O$89)+SUMIF(Operations!$P$10:$P$89,$B20,Operations!$Q$10:$Q$89)+SUMIF(Operations!$R$10:$R$89,$B20,Operations!$S$10:$S$89)+SUMIF(Operations!$T$10:$T$89,$B20,Operations!$U$10:$U$89)+SUMIF(Operations!$V$10:$V$89,$B20,Operations!$W$10:$W$89)+SUMIF(Operations!$X$10:$X$89,$B20,Operations!$Y$10:$Y$89))</f>
        <v/>
      </c>
      <c r="D20" s="47" t="str">
        <f aca="false">IF($B20="","",C20*Waste_Pct)</f>
        <v/>
      </c>
      <c r="E20" s="48" t="str">
        <f aca="false">IF($B20="","",C20+D20)</f>
        <v/>
      </c>
      <c r="F20" s="49" t="str">
        <f aca="false">IF(OR($B20="",$E$21=0),"",E20/$E$21)</f>
        <v/>
      </c>
      <c r="G20" s="50" t="str">
        <f aca="false">IF($B20="","",IF(Setup!C45="","",Setup!C45))</f>
        <v/>
      </c>
      <c r="H20" s="51" t="str">
        <f aca="false">IF($B20="","",IF(Setup!D45="","",Setup!D45))</f>
        <v/>
      </c>
      <c r="I20" s="52" t="str">
        <f aca="false">IF($B20="","",IF(Setup!E45="","",Setup!E45))</f>
        <v/>
      </c>
      <c r="J20" s="53" t="str">
        <f aca="false">IF(OR($B20="",I20=""),"",E20*I20)</f>
        <v/>
      </c>
      <c r="K20" s="54" t="str">
        <f aca="false">IF(OR($B20="",N(G20)=0),"",Prog_Size*E20/G20)</f>
        <v/>
      </c>
      <c r="L20" s="55" t="str">
        <f aca="false">IF(K20="","",ROUNDUP(K20,0))</f>
        <v/>
      </c>
      <c r="M20" s="56" t="str">
        <f aca="false">IF(OR(L20="",N(H20)=0),"",L20*H20)</f>
        <v/>
      </c>
    </row>
    <row r="21" customFormat="false" ht="15" hidden="false" customHeight="false" outlineLevel="0" collapsed="false">
      <c r="A21" s="57"/>
      <c r="B21" s="58" t="s">
        <v>187</v>
      </c>
      <c r="C21" s="45" t="n">
        <f aca="false">SUM(C6:C20)</f>
        <v>63.2532913385827</v>
      </c>
      <c r="D21" s="45" t="n">
        <f aca="false">SUM(D6:D20)</f>
        <v>6.32532913385827</v>
      </c>
      <c r="E21" s="45" t="n">
        <f aca="false">SUM(E6:E20)</f>
        <v>69.578620472441</v>
      </c>
      <c r="F21" s="57"/>
      <c r="G21" s="57"/>
      <c r="H21" s="57"/>
      <c r="I21" s="57"/>
      <c r="J21" s="59" t="n">
        <f aca="false">SUM(J6:J20)</f>
        <v>0.0479173737238845</v>
      </c>
      <c r="K21" s="57"/>
      <c r="L21" s="60" t="n">
        <f aca="false">SUM(L6:L20)</f>
        <v>143</v>
      </c>
      <c r="M21" s="61" t="n">
        <f aca="false">SUM(M6:M20)</f>
        <v>484.6</v>
      </c>
    </row>
    <row r="23" customFormat="false" ht="15" hidden="false" customHeight="false" outlineLevel="0" collapsed="false">
      <c r="B23" s="62" t="s">
        <v>188</v>
      </c>
    </row>
    <row r="24" customFormat="false" ht="15" hidden="false" customHeight="false" outlineLevel="0" collapsed="false">
      <c r="B24" s="42" t="s">
        <v>189</v>
      </c>
      <c r="C24" s="63" t="n">
        <f aca="false">Operations!I90</f>
        <v>63.2532913385827</v>
      </c>
      <c r="D24" s="64" t="str">
        <f aca="false">IF(AND(ABS(C25)&lt;0.001,ABS(C26)&lt;0.001),"✔ Reconciled","⚠ Check thread assignments")</f>
        <v>✔ Reconciled</v>
      </c>
    </row>
    <row r="25" customFormat="false" ht="15" hidden="false" customHeight="false" outlineLevel="0" collapsed="false">
      <c r="B25" s="42" t="s">
        <v>190</v>
      </c>
      <c r="C25" s="63" t="n">
        <f aca="false">Operations!Z90</f>
        <v>0</v>
      </c>
    </row>
    <row r="26" customFormat="false" ht="15" hidden="false" customHeight="false" outlineLevel="0" collapsed="false">
      <c r="B26" s="42" t="s">
        <v>191</v>
      </c>
      <c r="C26" s="47" t="n">
        <f aca="false">ROUND(C24-C25-C21,3)</f>
        <v>0</v>
      </c>
    </row>
    <row r="28" customFormat="false" ht="15" hidden="false" customHeight="false" outlineLevel="0" collapsed="false">
      <c r="B28" s="65" t="s">
        <v>192</v>
      </c>
      <c r="C28" s="66" t="str">
        <f aca="false">Currency</f>
        <v>US $</v>
      </c>
    </row>
    <row r="29" customFormat="false" ht="15" hidden="false" customHeight="false" outlineLevel="0" collapsed="false">
      <c r="B29" s="65" t="s">
        <v>193</v>
      </c>
      <c r="C29" s="67" t="n">
        <f aca="false">Prog_Size</f>
        <v>10000</v>
      </c>
    </row>
    <row r="30" customFormat="false" ht="15" hidden="false" customHeight="false" outlineLevel="0" collapsed="false">
      <c r="B30" s="65" t="s">
        <v>194</v>
      </c>
      <c r="C30" s="68" t="n">
        <f aca="false">Waste_Pct</f>
        <v>0.1</v>
      </c>
    </row>
  </sheetData>
  <conditionalFormatting sqref="D24">
    <cfRule type="expression" priority="2" aboveAverage="0" equalAverage="0" bottom="0" percent="0" rank="0" text="" dxfId="5">
      <formula>LEFT($D$24,1)="⚠"</formula>
    </cfRule>
    <cfRule type="expression" priority="3" aboveAverage="0" equalAverage="0" bottom="0" percent="0" rank="0" text="" dxfId="2">
      <formula>LEFT($D$24,1)="✔"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3"/>
    <col collapsed="false" customWidth="true" hidden="false" outlineLevel="0" max="22" min="8" style="0" width="9.51"/>
  </cols>
  <sheetData>
    <row r="1" customFormat="false" ht="19.7" hidden="false" customHeight="false" outlineLevel="0" collapsed="false">
      <c r="A1" s="1" t="s">
        <v>195</v>
      </c>
    </row>
    <row r="2" customFormat="false" ht="15" hidden="false" customHeight="false" outlineLevel="0" collapsed="false">
      <c r="A2" s="69" t="str">
        <f aca="false">Setup!C5&amp;"  |  "&amp;Setup!C6&amp;"  |  "&amp;Setup!C7</f>
        <v>Sample Apparel Ltd.  |  SAMPLE – Men's chino trouser (replace)  |  STY-0001</v>
      </c>
    </row>
    <row r="4" customFormat="false" ht="30" hidden="false" customHeight="true" outlineLevel="0" collapsed="false">
      <c r="B4" s="26" t="s">
        <v>104</v>
      </c>
      <c r="C4" s="26" t="s">
        <v>196</v>
      </c>
      <c r="D4" s="26" t="s">
        <v>107</v>
      </c>
      <c r="E4" s="26" t="s">
        <v>108</v>
      </c>
      <c r="F4" s="26" t="s">
        <v>197</v>
      </c>
      <c r="H4" s="26" t="s">
        <v>198</v>
      </c>
      <c r="I4" s="26"/>
      <c r="J4" s="26"/>
      <c r="K4" s="26"/>
      <c r="L4" s="26"/>
    </row>
    <row r="5" customFormat="false" ht="30" hidden="false" customHeight="true" outlineLevel="0" collapsed="false">
      <c r="B5" s="27" t="str">
        <f aca="false">Setup!C11&amp;" – "&amp;TEXT(Setup!C20,"0.0")&amp;" mm"</f>
        <v>Medium – 1.9 mm</v>
      </c>
      <c r="C5" s="29" t="n">
        <f aca="false">'Thread Order'!C21</f>
        <v>63.2532913385827</v>
      </c>
      <c r="D5" s="29" t="n">
        <f aca="false">'Thread Order'!E21</f>
        <v>69.578620472441</v>
      </c>
      <c r="E5" s="30" t="n">
        <f aca="false">'Thread Order'!J21</f>
        <v>0.0479173737238845</v>
      </c>
      <c r="F5" s="70" t="n">
        <f aca="false">'Thread Order'!L21</f>
        <v>143</v>
      </c>
      <c r="H5" s="27" t="str">
        <f aca="false">IF(AND(COUNTIF(Operations!AA10:AA89,"⚠*")=0,LEFT('Thread Order'!D24,1)="✔"),"✔ All OK","⚠ Review Operations")</f>
        <v>✔ All OK</v>
      </c>
      <c r="I5" s="27"/>
      <c r="J5" s="27"/>
      <c r="K5" s="27"/>
      <c r="L5" s="27"/>
    </row>
    <row r="6" customFormat="false" ht="15" hidden="false" customHeight="false" outlineLevel="0" collapsed="false">
      <c r="B6" s="20" t="s">
        <v>192</v>
      </c>
      <c r="C6" s="71" t="str">
        <f aca="false">Currency</f>
        <v>US $</v>
      </c>
    </row>
    <row r="8" customFormat="false" ht="15" hidden="false" customHeight="false" outlineLevel="0" collapsed="false">
      <c r="B8" s="3" t="s">
        <v>199</v>
      </c>
      <c r="C8" s="4"/>
      <c r="D8" s="4"/>
      <c r="E8" s="4"/>
      <c r="F8" s="4"/>
    </row>
    <row r="9" customFormat="false" ht="15" hidden="false" customHeight="false" outlineLevel="0" collapsed="false">
      <c r="B9" s="13" t="s">
        <v>200</v>
      </c>
      <c r="C9" s="13" t="s">
        <v>201</v>
      </c>
      <c r="D9" s="13" t="s">
        <v>202</v>
      </c>
    </row>
    <row r="10" customFormat="false" ht="15" hidden="false" customHeight="false" outlineLevel="0" collapsed="false">
      <c r="B10" s="42" t="s">
        <v>203</v>
      </c>
      <c r="C10" s="63" t="n">
        <f aca="false">Operations!O90+Operations!Q90+Operations!S90</f>
        <v>24.0608976377953</v>
      </c>
      <c r="D10" s="49" t="n">
        <f aca="false">IF(SUM($C$10:$C$13)=0,0,C10/SUM($C$10:$C$13))</f>
        <v>0.380389654492474</v>
      </c>
    </row>
    <row r="11" customFormat="false" ht="15" hidden="false" customHeight="false" outlineLevel="0" collapsed="false">
      <c r="B11" s="42" t="s">
        <v>204</v>
      </c>
      <c r="C11" s="63" t="n">
        <f aca="false">Operations!U90</f>
        <v>6.01144881889764</v>
      </c>
      <c r="D11" s="49" t="n">
        <f aca="false">IF(SUM($C$10:$C$13)=0,0,C11/SUM($C$10:$C$13))</f>
        <v>0.0950377235979629</v>
      </c>
    </row>
    <row r="12" customFormat="false" ht="15" hidden="false" customHeight="false" outlineLevel="0" collapsed="false">
      <c r="B12" s="42" t="s">
        <v>205</v>
      </c>
      <c r="C12" s="63" t="n">
        <f aca="false">Operations!W90</f>
        <v>33.1809448818898</v>
      </c>
      <c r="D12" s="49" t="n">
        <f aca="false">IF(SUM($C$10:$C$13)=0,0,C12/SUM($C$10:$C$13))</f>
        <v>0.524572621909563</v>
      </c>
    </row>
    <row r="13" customFormat="false" ht="15" hidden="false" customHeight="false" outlineLevel="0" collapsed="false">
      <c r="B13" s="42" t="s">
        <v>206</v>
      </c>
      <c r="C13" s="63" t="n">
        <f aca="false">Operations!Y90</f>
        <v>0</v>
      </c>
      <c r="D13" s="49" t="n">
        <f aca="false">IF(SUM($C$10:$C$13)=0,0,C13/SUM($C$10:$C$13))</f>
        <v>0</v>
      </c>
    </row>
    <row r="16" customFormat="false" ht="15" hidden="false" customHeight="false" outlineLevel="0" collapsed="false">
      <c r="B16" s="3" t="s">
        <v>207</v>
      </c>
      <c r="C16" s="4"/>
      <c r="D16" s="4"/>
      <c r="E16" s="4"/>
      <c r="F16" s="4"/>
    </row>
    <row r="17" customFormat="false" ht="15" hidden="false" customHeight="false" outlineLevel="0" collapsed="false">
      <c r="B17" s="13" t="s">
        <v>150</v>
      </c>
      <c r="C17" s="13" t="s">
        <v>201</v>
      </c>
      <c r="D17" s="13" t="s">
        <v>202</v>
      </c>
    </row>
    <row r="18" customFormat="false" ht="15" hidden="false" customHeight="false" outlineLevel="0" collapsed="false">
      <c r="B18" s="42" t="s">
        <v>208</v>
      </c>
      <c r="C18" s="47" t="n">
        <f aca="false">SUMIF(Operations!$AG$10:$AG$89,B18,Operations!$I$10:$I$89)</f>
        <v>4.224</v>
      </c>
      <c r="D18" s="49" t="n">
        <f aca="false">IF(SUM($C$18:$C$29)=0,0,C18/SUM($C$18:$C$29))</f>
        <v>0.0667791337116316</v>
      </c>
    </row>
    <row r="19" customFormat="false" ht="15" hidden="false" customHeight="false" outlineLevel="0" collapsed="false">
      <c r="B19" s="42" t="s">
        <v>209</v>
      </c>
      <c r="C19" s="47" t="n">
        <f aca="false">SUMIF(Operations!$AG$10:$AG$89,B19,Operations!$I$10:$I$89)</f>
        <v>8.24409448818898</v>
      </c>
      <c r="D19" s="49" t="n">
        <f aca="false">IF(SUM($C$18:$C$29)=0,0,C19/SUM($C$18:$C$29))</f>
        <v>0.130334632613186</v>
      </c>
    </row>
    <row r="20" customFormat="false" ht="15" hidden="false" customHeight="false" outlineLevel="0" collapsed="false">
      <c r="B20" s="42" t="s">
        <v>210</v>
      </c>
      <c r="C20" s="47" t="n">
        <f aca="false">SUMIF(Operations!$AG$10:$AG$89,B20,Operations!$I$10:$I$89)</f>
        <v>11.5817322834646</v>
      </c>
      <c r="D20" s="49" t="n">
        <f aca="false">IF(SUM($C$18:$C$29)=0,0,C20/SUM($C$18:$C$29))</f>
        <v>0.183100863818608</v>
      </c>
    </row>
    <row r="21" customFormat="false" ht="15" hidden="false" customHeight="false" outlineLevel="0" collapsed="false">
      <c r="B21" s="42" t="s">
        <v>211</v>
      </c>
      <c r="C21" s="47" t="n">
        <f aca="false">SUMIF(Operations!$AG$10:$AG$89,B21,Operations!$I$10:$I$89)</f>
        <v>0</v>
      </c>
      <c r="D21" s="49" t="n">
        <f aca="false">IF(SUM($C$18:$C$29)=0,0,C21/SUM($C$18:$C$29))</f>
        <v>0</v>
      </c>
    </row>
    <row r="22" customFormat="false" ht="15" hidden="false" customHeight="false" outlineLevel="0" collapsed="false">
      <c r="B22" s="42" t="s">
        <v>212</v>
      </c>
      <c r="C22" s="47" t="n">
        <f aca="false">SUMIF(Operations!$AG$10:$AG$89,B22,Operations!$I$10:$I$89)</f>
        <v>37.7834645669291</v>
      </c>
      <c r="D22" s="49" t="n">
        <f aca="false">IF(SUM($C$18:$C$29)=0,0,C22/SUM($C$18:$C$29))</f>
        <v>0.59733594517132</v>
      </c>
    </row>
    <row r="23" customFormat="false" ht="15" hidden="false" customHeight="false" outlineLevel="0" collapsed="false">
      <c r="B23" s="42" t="s">
        <v>213</v>
      </c>
      <c r="C23" s="47" t="n">
        <f aca="false">SUMIF(Operations!$AG$10:$AG$89,B23,Operations!$I$10:$I$89)</f>
        <v>0</v>
      </c>
      <c r="D23" s="49" t="n">
        <f aca="false">IF(SUM($C$18:$C$29)=0,0,C23/SUM($C$18:$C$29))</f>
        <v>0</v>
      </c>
    </row>
    <row r="24" customFormat="false" ht="15" hidden="false" customHeight="false" outlineLevel="0" collapsed="false">
      <c r="B24" s="42" t="s">
        <v>214</v>
      </c>
      <c r="C24" s="47" t="n">
        <f aca="false">SUMIF(Operations!$AG$10:$AG$89,B24,Operations!$I$10:$I$89)</f>
        <v>0</v>
      </c>
      <c r="D24" s="49" t="n">
        <f aca="false">IF(SUM($C$18:$C$29)=0,0,C24/SUM($C$18:$C$29))</f>
        <v>0</v>
      </c>
    </row>
    <row r="25" customFormat="false" ht="15" hidden="false" customHeight="false" outlineLevel="0" collapsed="false">
      <c r="B25" s="42" t="s">
        <v>215</v>
      </c>
      <c r="C25" s="47" t="n">
        <f aca="false">SUMIF(Operations!$AG$10:$AG$89,B25,Operations!$I$10:$I$89)</f>
        <v>0.98</v>
      </c>
      <c r="D25" s="49" t="n">
        <f aca="false">IF(SUM($C$18:$C$29)=0,0,C25/SUM($C$18:$C$29))</f>
        <v>0.0154932649236266</v>
      </c>
    </row>
    <row r="26" customFormat="false" ht="15" hidden="false" customHeight="false" outlineLevel="0" collapsed="false">
      <c r="B26" s="42" t="s">
        <v>216</v>
      </c>
      <c r="C26" s="47" t="n">
        <f aca="false">SUMIF(Operations!$AG$10:$AG$89,B26,Operations!$I$10:$I$89)</f>
        <v>0.14</v>
      </c>
      <c r="D26" s="49" t="n">
        <f aca="false">IF(SUM($C$18:$C$29)=0,0,C26/SUM($C$18:$C$29))</f>
        <v>0.00221332356051809</v>
      </c>
    </row>
    <row r="27" customFormat="false" ht="15" hidden="false" customHeight="false" outlineLevel="0" collapsed="false">
      <c r="B27" s="42" t="s">
        <v>217</v>
      </c>
      <c r="C27" s="47" t="n">
        <f aca="false">SUMIF(Operations!$AG$10:$AG$89,B27,Operations!$I$10:$I$89)</f>
        <v>0.3</v>
      </c>
      <c r="D27" s="49" t="n">
        <f aca="false">IF(SUM($C$18:$C$29)=0,0,C27/SUM($C$18:$C$29))</f>
        <v>0.0047428362011102</v>
      </c>
    </row>
    <row r="28" customFormat="false" ht="15" hidden="false" customHeight="false" outlineLevel="0" collapsed="false">
      <c r="B28" s="42" t="s">
        <v>218</v>
      </c>
      <c r="C28" s="47" t="n">
        <f aca="false">SUMIF(Operations!$AG$10:$AG$89,B28,Operations!$I$10:$I$89)</f>
        <v>0</v>
      </c>
      <c r="D28" s="49" t="n">
        <f aca="false">IF(SUM($C$18:$C$29)=0,0,C28/SUM($C$18:$C$29))</f>
        <v>0</v>
      </c>
    </row>
    <row r="29" customFormat="false" ht="15" hidden="false" customHeight="false" outlineLevel="0" collapsed="false">
      <c r="B29" s="42" t="s">
        <v>219</v>
      </c>
      <c r="C29" s="47" t="n">
        <f aca="false">SUMIF(Operations!$AG$10:$AG$89,B29,Operations!$I$10:$I$89)</f>
        <v>0</v>
      </c>
      <c r="D29" s="49" t="n">
        <f aca="false">IF(SUM($C$18:$C$29)=0,0,C29/SUM($C$18:$C$29))</f>
        <v>0</v>
      </c>
    </row>
    <row r="31" customFormat="false" ht="15" hidden="false" customHeight="false" outlineLevel="0" collapsed="false">
      <c r="B31" s="3" t="s">
        <v>220</v>
      </c>
      <c r="C31" s="4"/>
      <c r="D31" s="4"/>
      <c r="E31" s="4"/>
      <c r="F31" s="4"/>
    </row>
    <row r="32" customFormat="false" ht="30" hidden="false" customHeight="true" outlineLevel="0" collapsed="false">
      <c r="B32" s="13" t="s">
        <v>221</v>
      </c>
      <c r="C32" s="13" t="s">
        <v>222</v>
      </c>
      <c r="D32" s="13" t="s">
        <v>223</v>
      </c>
      <c r="E32" s="13" t="s">
        <v>107</v>
      </c>
      <c r="F32" s="13" t="s">
        <v>224</v>
      </c>
    </row>
    <row r="33" customFormat="false" ht="15" hidden="false" customHeight="false" outlineLevel="0" collapsed="false">
      <c r="B33" s="10" t="s">
        <v>73</v>
      </c>
      <c r="C33" s="72" t="n">
        <f aca="false">Setup!C14</f>
        <v>1.2</v>
      </c>
      <c r="D33" s="63" t="n">
        <f aca="false">Operations!AH90</f>
        <v>57.9840787401575</v>
      </c>
      <c r="E33" s="47" t="n">
        <f aca="false">D33*(1+Waste_Pct)</f>
        <v>63.7824866141732</v>
      </c>
      <c r="F33" s="73" t="n">
        <f aca="false">IF(INDEX($D$33:$D$36,WeightIdx)=0,0,D33/INDEX($D$33:$D$36,WeightIdx)-1)</f>
        <v>-0.0833033742105233</v>
      </c>
    </row>
    <row r="34" customFormat="false" ht="15" hidden="false" customHeight="false" outlineLevel="0" collapsed="false">
      <c r="B34" s="10" t="s">
        <v>69</v>
      </c>
      <c r="C34" s="72" t="n">
        <f aca="false">Setup!C15</f>
        <v>1.9</v>
      </c>
      <c r="D34" s="63" t="n">
        <f aca="false">Operations!AI90</f>
        <v>63.2532913385827</v>
      </c>
      <c r="E34" s="47" t="n">
        <f aca="false">D34*(1+Waste_Pct)</f>
        <v>69.578620472441</v>
      </c>
      <c r="F34" s="73" t="n">
        <f aca="false">IF(INDEX($D$33:$D$36,WeightIdx)=0,0,D34/INDEX($D$33:$D$36,WeightIdx)-1)</f>
        <v>0</v>
      </c>
    </row>
    <row r="35" customFormat="false" ht="15" hidden="false" customHeight="false" outlineLevel="0" collapsed="false">
      <c r="B35" s="10" t="s">
        <v>76</v>
      </c>
      <c r="C35" s="72" t="n">
        <f aca="false">Setup!C16</f>
        <v>2.9</v>
      </c>
      <c r="D35" s="63" t="n">
        <f aca="false">Operations!AJ90</f>
        <v>71.1450236220473</v>
      </c>
      <c r="E35" s="47" t="n">
        <f aca="false">D35*(1+Waste_Pct)</f>
        <v>78.259525984252</v>
      </c>
      <c r="F35" s="73" t="n">
        <f aca="false">IF(INDEX($D$33:$D$36,WeightIdx)=0,0,D35/INDEX($D$33:$D$36,WeightIdx)-1)</f>
        <v>0.124763978544953</v>
      </c>
    </row>
    <row r="36" customFormat="false" ht="15" hidden="false" customHeight="false" outlineLevel="0" collapsed="false">
      <c r="B36" s="10" t="s">
        <v>78</v>
      </c>
      <c r="C36" s="72" t="n">
        <f aca="false">Setup!C17</f>
        <v>2.4</v>
      </c>
      <c r="D36" s="63" t="n">
        <f aca="false">Operations!AK90</f>
        <v>66.924157480315</v>
      </c>
      <c r="E36" s="47" t="n">
        <f aca="false">D36*(1+Waste_Pct)</f>
        <v>73.6165732283465</v>
      </c>
      <c r="F36" s="73" t="n">
        <f aca="false">IF(INDEX($D$33:$D$36,WeightIdx)=0,0,D36/INDEX($D$33:$D$36,WeightIdx)-1)</f>
        <v>0.0580343894214586</v>
      </c>
    </row>
    <row r="38" customFormat="false" ht="15" hidden="false" customHeight="false" outlineLevel="0" collapsed="false">
      <c r="B38" s="20" t="s">
        <v>225</v>
      </c>
    </row>
  </sheetData>
  <mergeCells count="2">
    <mergeCell ref="H4:L4"/>
    <mergeCell ref="H5:L5"/>
  </mergeCells>
  <conditionalFormatting sqref="H5">
    <cfRule type="expression" priority="2" aboveAverage="0" equalAverage="0" bottom="0" percent="0" rank="0" text="" dxfId="1">
      <formula>LEFT($H$5,1)="⚠"</formula>
    </cfRule>
    <cfRule type="expression" priority="3" aboveAverage="0" equalAverage="0" bottom="0" percent="0" rank="0" text="" dxfId="2">
      <formula>LEFT($H$5,1)="✔"</formula>
    </cfRule>
  </conditionalFormatting>
  <conditionalFormatting sqref="B33:F36">
    <cfRule type="expression" priority="4" aboveAverage="0" equalAverage="0" bottom="0" percent="0" rank="0" text="" dxfId="6">
      <formula>ROW()-32=WeightIdx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AB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28" min="6" style="0" width="8.5"/>
  </cols>
  <sheetData>
    <row r="1" customFormat="false" ht="19.7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true" outlineLevel="0" collapsed="false">
      <c r="F4" s="74" t="s">
        <v>228</v>
      </c>
      <c r="G4" s="74"/>
      <c r="H4" s="74"/>
      <c r="I4" s="74"/>
      <c r="J4" s="74" t="s">
        <v>229</v>
      </c>
      <c r="K4" s="74"/>
      <c r="L4" s="74"/>
      <c r="M4" s="74"/>
      <c r="N4" s="74" t="s">
        <v>230</v>
      </c>
      <c r="O4" s="74"/>
      <c r="P4" s="74"/>
      <c r="Q4" s="74"/>
      <c r="R4" s="74" t="s">
        <v>231</v>
      </c>
      <c r="S4" s="74"/>
      <c r="T4" s="74"/>
      <c r="U4" s="74"/>
      <c r="V4" s="74" t="s">
        <v>232</v>
      </c>
      <c r="W4" s="74"/>
      <c r="X4" s="74"/>
      <c r="Y4" s="74"/>
    </row>
    <row r="5" customFormat="false" ht="27.75" hidden="false" customHeight="true" outlineLevel="0" collapsed="false">
      <c r="A5" s="13" t="s">
        <v>174</v>
      </c>
      <c r="B5" s="13" t="s">
        <v>233</v>
      </c>
      <c r="C5" s="13" t="s">
        <v>150</v>
      </c>
      <c r="D5" s="13" t="s">
        <v>234</v>
      </c>
      <c r="E5" s="13" t="s">
        <v>149</v>
      </c>
      <c r="F5" s="13" t="s">
        <v>235</v>
      </c>
      <c r="G5" s="13" t="s">
        <v>204</v>
      </c>
      <c r="H5" s="13" t="s">
        <v>205</v>
      </c>
      <c r="I5" s="13" t="s">
        <v>206</v>
      </c>
      <c r="J5" s="13" t="s">
        <v>235</v>
      </c>
      <c r="K5" s="13" t="s">
        <v>204</v>
      </c>
      <c r="L5" s="13" t="s">
        <v>205</v>
      </c>
      <c r="M5" s="13" t="s">
        <v>206</v>
      </c>
      <c r="N5" s="13" t="s">
        <v>235</v>
      </c>
      <c r="O5" s="13" t="s">
        <v>204</v>
      </c>
      <c r="P5" s="13" t="s">
        <v>205</v>
      </c>
      <c r="Q5" s="13" t="s">
        <v>206</v>
      </c>
      <c r="R5" s="13" t="s">
        <v>235</v>
      </c>
      <c r="S5" s="13" t="s">
        <v>204</v>
      </c>
      <c r="T5" s="13" t="s">
        <v>205</v>
      </c>
      <c r="U5" s="13" t="s">
        <v>206</v>
      </c>
      <c r="V5" s="13" t="s">
        <v>235</v>
      </c>
      <c r="W5" s="13" t="s">
        <v>204</v>
      </c>
      <c r="X5" s="13" t="s">
        <v>205</v>
      </c>
      <c r="Y5" s="13" t="s">
        <v>206</v>
      </c>
      <c r="Z5" s="13" t="s">
        <v>236</v>
      </c>
      <c r="AA5" s="13" t="s">
        <v>237</v>
      </c>
      <c r="AB5" s="13" t="s">
        <v>238</v>
      </c>
    </row>
    <row r="6" customFormat="false" ht="15" hidden="false" customHeight="false" outlineLevel="0" collapsed="false">
      <c r="A6" s="16" t="n">
        <v>1</v>
      </c>
      <c r="B6" s="75" t="s">
        <v>164</v>
      </c>
      <c r="C6" s="75" t="s">
        <v>208</v>
      </c>
      <c r="D6" s="76" t="s">
        <v>239</v>
      </c>
      <c r="E6" s="76" t="s">
        <v>240</v>
      </c>
      <c r="F6" s="77" t="n">
        <v>1</v>
      </c>
      <c r="G6" s="77" t="n">
        <v>0</v>
      </c>
      <c r="H6" s="77" t="n">
        <v>0</v>
      </c>
      <c r="I6" s="77" t="n">
        <v>0</v>
      </c>
      <c r="J6" s="77" t="n">
        <v>1</v>
      </c>
      <c r="K6" s="77" t="n">
        <v>0</v>
      </c>
      <c r="L6" s="77" t="n">
        <v>0</v>
      </c>
      <c r="M6" s="77" t="n">
        <v>0</v>
      </c>
      <c r="N6" s="77" t="n">
        <v>1</v>
      </c>
      <c r="O6" s="77" t="n">
        <v>0</v>
      </c>
      <c r="P6" s="77" t="n">
        <v>0</v>
      </c>
      <c r="Q6" s="77" t="n">
        <v>0</v>
      </c>
      <c r="R6" s="17" t="n">
        <f aca="false">J6</f>
        <v>1</v>
      </c>
      <c r="S6" s="17" t="n">
        <f aca="false">K6</f>
        <v>0</v>
      </c>
      <c r="T6" s="17" t="n">
        <f aca="false">L6</f>
        <v>0</v>
      </c>
      <c r="U6" s="17" t="n">
        <f aca="false">M6</f>
        <v>0</v>
      </c>
      <c r="V6" s="78" t="n">
        <f aca="false">CHOOSE(WeightIdx,F6,J6,N6,R6)</f>
        <v>1</v>
      </c>
      <c r="W6" s="78" t="n">
        <f aca="false">CHOOSE(WeightIdx,G6,K6,O6,S6)</f>
        <v>0</v>
      </c>
      <c r="X6" s="78" t="n">
        <f aca="false">CHOOSE(WeightIdx,H6,L6,P6,T6)</f>
        <v>0</v>
      </c>
      <c r="Y6" s="78" t="n">
        <f aca="false">CHOOSE(WeightIdx,I6,M6,Q6,U6)</f>
        <v>0</v>
      </c>
      <c r="Z6" s="17" t="n">
        <f aca="false">SUM(V6:Y6)</f>
        <v>1</v>
      </c>
      <c r="AA6" s="16" t="n">
        <f aca="false">25-SUMPRODUCT(MAX((Engine!$D83:$AA83&lt;&gt;"")*(25-Engine!$D$7:$AA$7)))</f>
        <v>3</v>
      </c>
      <c r="AB6" s="16" t="n">
        <f aca="false">SUMPRODUCT(MAX((Engine!$D83:$AA83&lt;&gt;"")*Engine!$D$7:$AA$7))</f>
        <v>10</v>
      </c>
    </row>
    <row r="7" customFormat="false" ht="15" hidden="false" customHeight="false" outlineLevel="0" collapsed="false">
      <c r="A7" s="16" t="n">
        <v>2</v>
      </c>
      <c r="B7" s="75" t="s">
        <v>241</v>
      </c>
      <c r="C7" s="75" t="s">
        <v>208</v>
      </c>
      <c r="D7" s="76" t="s">
        <v>239</v>
      </c>
      <c r="E7" s="76" t="s">
        <v>240</v>
      </c>
      <c r="F7" s="77" t="n">
        <v>1</v>
      </c>
      <c r="G7" s="77" t="n">
        <v>0</v>
      </c>
      <c r="H7" s="77" t="n">
        <v>0</v>
      </c>
      <c r="I7" s="77" t="n">
        <v>0</v>
      </c>
      <c r="J7" s="77" t="n">
        <v>1</v>
      </c>
      <c r="K7" s="77" t="n">
        <v>0</v>
      </c>
      <c r="L7" s="77" t="n">
        <v>0</v>
      </c>
      <c r="M7" s="77" t="n">
        <v>0</v>
      </c>
      <c r="N7" s="77" t="n">
        <v>1</v>
      </c>
      <c r="O7" s="77" t="n">
        <v>0</v>
      </c>
      <c r="P7" s="77" t="n">
        <v>0</v>
      </c>
      <c r="Q7" s="77" t="n">
        <v>0</v>
      </c>
      <c r="R7" s="17" t="n">
        <f aca="false">J7</f>
        <v>1</v>
      </c>
      <c r="S7" s="17" t="n">
        <f aca="false">K7</f>
        <v>0</v>
      </c>
      <c r="T7" s="17" t="n">
        <f aca="false">L7</f>
        <v>0</v>
      </c>
      <c r="U7" s="17" t="n">
        <f aca="false">M7</f>
        <v>0</v>
      </c>
      <c r="V7" s="78" t="n">
        <f aca="false">CHOOSE(WeightIdx,F7,J7,N7,R7)</f>
        <v>1</v>
      </c>
      <c r="W7" s="78" t="n">
        <f aca="false">CHOOSE(WeightIdx,G7,K7,O7,S7)</f>
        <v>0</v>
      </c>
      <c r="X7" s="78" t="n">
        <f aca="false">CHOOSE(WeightIdx,H7,L7,P7,T7)</f>
        <v>0</v>
      </c>
      <c r="Y7" s="78" t="n">
        <f aca="false">CHOOSE(WeightIdx,I7,M7,Q7,U7)</f>
        <v>0</v>
      </c>
      <c r="Z7" s="17" t="n">
        <f aca="false">SUM(V7:Y7)</f>
        <v>1</v>
      </c>
      <c r="AA7" s="16" t="n">
        <f aca="false">25-SUMPRODUCT(MAX((Engine!$D84:$AA84&lt;&gt;"")*(25-Engine!$D$7:$AA$7)))</f>
        <v>2</v>
      </c>
      <c r="AB7" s="16" t="n">
        <f aca="false">SUMPRODUCT(MAX((Engine!$D84:$AA84&lt;&gt;"")*Engine!$D$7:$AA$7))</f>
        <v>10</v>
      </c>
    </row>
    <row r="8" customFormat="false" ht="15" hidden="false" customHeight="false" outlineLevel="0" collapsed="false">
      <c r="A8" s="16" t="n">
        <v>3</v>
      </c>
      <c r="B8" s="75" t="s">
        <v>242</v>
      </c>
      <c r="C8" s="75" t="s">
        <v>208</v>
      </c>
      <c r="D8" s="76" t="s">
        <v>239</v>
      </c>
      <c r="E8" s="76" t="s">
        <v>240</v>
      </c>
      <c r="F8" s="77" t="n">
        <v>1</v>
      </c>
      <c r="G8" s="77" t="n">
        <v>0</v>
      </c>
      <c r="H8" s="77" t="n">
        <v>0</v>
      </c>
      <c r="I8" s="77" t="n">
        <v>0</v>
      </c>
      <c r="J8" s="77" t="n">
        <v>1</v>
      </c>
      <c r="K8" s="77" t="n">
        <v>0</v>
      </c>
      <c r="L8" s="77" t="n">
        <v>0</v>
      </c>
      <c r="M8" s="77" t="n">
        <v>0</v>
      </c>
      <c r="N8" s="77" t="n">
        <v>1</v>
      </c>
      <c r="O8" s="77" t="n">
        <v>0</v>
      </c>
      <c r="P8" s="77" t="n">
        <v>0</v>
      </c>
      <c r="Q8" s="77" t="n">
        <v>0</v>
      </c>
      <c r="R8" s="17" t="n">
        <f aca="false">J8</f>
        <v>1</v>
      </c>
      <c r="S8" s="17" t="n">
        <f aca="false">K8</f>
        <v>0</v>
      </c>
      <c r="T8" s="17" t="n">
        <f aca="false">L8</f>
        <v>0</v>
      </c>
      <c r="U8" s="17" t="n">
        <f aca="false">M8</f>
        <v>0</v>
      </c>
      <c r="V8" s="78" t="n">
        <f aca="false">CHOOSE(WeightIdx,F8,J8,N8,R8)</f>
        <v>1</v>
      </c>
      <c r="W8" s="78" t="n">
        <f aca="false">CHOOSE(WeightIdx,G8,K8,O8,S8)</f>
        <v>0</v>
      </c>
      <c r="X8" s="78" t="n">
        <f aca="false">CHOOSE(WeightIdx,H8,L8,P8,T8)</f>
        <v>0</v>
      </c>
      <c r="Y8" s="78" t="n">
        <f aca="false">CHOOSE(WeightIdx,I8,M8,Q8,U8)</f>
        <v>0</v>
      </c>
      <c r="Z8" s="17" t="n">
        <f aca="false">SUM(V8:Y8)</f>
        <v>1</v>
      </c>
      <c r="AA8" s="16" t="n">
        <f aca="false">25-SUMPRODUCT(MAX((Engine!$D85:$AA85&lt;&gt;"")*(25-Engine!$D$7:$AA$7)))</f>
        <v>2</v>
      </c>
      <c r="AB8" s="16" t="n">
        <f aca="false">SUMPRODUCT(MAX((Engine!$D85:$AA85&lt;&gt;"")*Engine!$D$7:$AA$7))</f>
        <v>10</v>
      </c>
    </row>
    <row r="9" customFormat="false" ht="15" hidden="false" customHeight="false" outlineLevel="0" collapsed="false">
      <c r="A9" s="16" t="n">
        <v>4</v>
      </c>
      <c r="B9" s="75" t="s">
        <v>243</v>
      </c>
      <c r="C9" s="75" t="s">
        <v>208</v>
      </c>
      <c r="D9" s="76" t="s">
        <v>239</v>
      </c>
      <c r="E9" s="76" t="s">
        <v>240</v>
      </c>
      <c r="F9" s="77" t="n">
        <v>1</v>
      </c>
      <c r="G9" s="77" t="n">
        <v>0</v>
      </c>
      <c r="H9" s="77" t="n">
        <v>0</v>
      </c>
      <c r="I9" s="77" t="n">
        <v>0</v>
      </c>
      <c r="J9" s="77" t="n">
        <v>1</v>
      </c>
      <c r="K9" s="77" t="n">
        <v>0</v>
      </c>
      <c r="L9" s="77" t="n">
        <v>0</v>
      </c>
      <c r="M9" s="77" t="n">
        <v>0</v>
      </c>
      <c r="N9" s="77" t="n">
        <v>1</v>
      </c>
      <c r="O9" s="77" t="n">
        <v>0</v>
      </c>
      <c r="P9" s="77" t="n">
        <v>0</v>
      </c>
      <c r="Q9" s="77" t="n">
        <v>0</v>
      </c>
      <c r="R9" s="17" t="n">
        <f aca="false">J9</f>
        <v>1</v>
      </c>
      <c r="S9" s="17" t="n">
        <f aca="false">K9</f>
        <v>0</v>
      </c>
      <c r="T9" s="17" t="n">
        <f aca="false">L9</f>
        <v>0</v>
      </c>
      <c r="U9" s="17" t="n">
        <f aca="false">M9</f>
        <v>0</v>
      </c>
      <c r="V9" s="78" t="n">
        <f aca="false">CHOOSE(WeightIdx,F9,J9,N9,R9)</f>
        <v>1</v>
      </c>
      <c r="W9" s="78" t="n">
        <f aca="false">CHOOSE(WeightIdx,G9,K9,O9,S9)</f>
        <v>0</v>
      </c>
      <c r="X9" s="78" t="n">
        <f aca="false">CHOOSE(WeightIdx,H9,L9,P9,T9)</f>
        <v>0</v>
      </c>
      <c r="Y9" s="78" t="n">
        <f aca="false">CHOOSE(WeightIdx,I9,M9,Q9,U9)</f>
        <v>0</v>
      </c>
      <c r="Z9" s="17" t="n">
        <f aca="false">SUM(V9:Y9)</f>
        <v>1</v>
      </c>
      <c r="AA9" s="16" t="n">
        <f aca="false">25-SUMPRODUCT(MAX((Engine!$D86:$AA86&lt;&gt;"")*(25-Engine!$D$7:$AA$7)))</f>
        <v>2</v>
      </c>
      <c r="AB9" s="16" t="n">
        <f aca="false">SUMPRODUCT(MAX((Engine!$D86:$AA86&lt;&gt;"")*Engine!$D$7:$AA$7))</f>
        <v>10</v>
      </c>
    </row>
    <row r="10" customFormat="false" ht="15" hidden="false" customHeight="false" outlineLevel="0" collapsed="false">
      <c r="A10" s="16" t="n">
        <v>5</v>
      </c>
      <c r="B10" s="75" t="s">
        <v>244</v>
      </c>
      <c r="C10" s="75" t="s">
        <v>208</v>
      </c>
      <c r="D10" s="76" t="s">
        <v>239</v>
      </c>
      <c r="E10" s="76" t="s">
        <v>240</v>
      </c>
      <c r="F10" s="77" t="n">
        <v>1</v>
      </c>
      <c r="G10" s="77" t="n">
        <v>0</v>
      </c>
      <c r="H10" s="77" t="n">
        <v>0</v>
      </c>
      <c r="I10" s="77" t="n">
        <v>0</v>
      </c>
      <c r="J10" s="77" t="n">
        <v>1</v>
      </c>
      <c r="K10" s="77" t="n">
        <v>0</v>
      </c>
      <c r="L10" s="77" t="n">
        <v>0</v>
      </c>
      <c r="M10" s="77" t="n">
        <v>0</v>
      </c>
      <c r="N10" s="77" t="n">
        <v>1</v>
      </c>
      <c r="O10" s="77" t="n">
        <v>0</v>
      </c>
      <c r="P10" s="77" t="n">
        <v>0</v>
      </c>
      <c r="Q10" s="77" t="n">
        <v>0</v>
      </c>
      <c r="R10" s="17" t="n">
        <f aca="false">J10</f>
        <v>1</v>
      </c>
      <c r="S10" s="17" t="n">
        <f aca="false">K10</f>
        <v>0</v>
      </c>
      <c r="T10" s="17" t="n">
        <f aca="false">L10</f>
        <v>0</v>
      </c>
      <c r="U10" s="17" t="n">
        <f aca="false">M10</f>
        <v>0</v>
      </c>
      <c r="V10" s="78" t="n">
        <f aca="false">CHOOSE(WeightIdx,F10,J10,N10,R10)</f>
        <v>1</v>
      </c>
      <c r="W10" s="78" t="n">
        <f aca="false">CHOOSE(WeightIdx,G10,K10,O10,S10)</f>
        <v>0</v>
      </c>
      <c r="X10" s="78" t="n">
        <f aca="false">CHOOSE(WeightIdx,H10,L10,P10,T10)</f>
        <v>0</v>
      </c>
      <c r="Y10" s="78" t="n">
        <f aca="false">CHOOSE(WeightIdx,I10,M10,Q10,U10)</f>
        <v>0</v>
      </c>
      <c r="Z10" s="17" t="n">
        <f aca="false">SUM(V10:Y10)</f>
        <v>1</v>
      </c>
      <c r="AA10" s="16" t="n">
        <f aca="false">25-SUMPRODUCT(MAX((Engine!$D87:$AA87&lt;&gt;"")*(25-Engine!$D$7:$AA$7)))</f>
        <v>5</v>
      </c>
      <c r="AB10" s="16" t="n">
        <f aca="false">SUMPRODUCT(MAX((Engine!$D87:$AA87&lt;&gt;"")*Engine!$D$7:$AA$7))</f>
        <v>24</v>
      </c>
    </row>
    <row r="11" customFormat="false" ht="15" hidden="false" customHeight="false" outlineLevel="0" collapsed="false">
      <c r="A11" s="16" t="n">
        <v>6</v>
      </c>
      <c r="B11" s="75" t="s">
        <v>245</v>
      </c>
      <c r="C11" s="75" t="s">
        <v>209</v>
      </c>
      <c r="D11" s="76" t="s">
        <v>239</v>
      </c>
      <c r="E11" s="76" t="s">
        <v>240</v>
      </c>
      <c r="F11" s="77" t="n">
        <v>1</v>
      </c>
      <c r="G11" s="77" t="n">
        <v>0</v>
      </c>
      <c r="H11" s="77" t="n">
        <v>0</v>
      </c>
      <c r="I11" s="77" t="n">
        <v>0</v>
      </c>
      <c r="J11" s="77" t="n">
        <v>1</v>
      </c>
      <c r="K11" s="77" t="n">
        <v>0</v>
      </c>
      <c r="L11" s="77" t="n">
        <v>0</v>
      </c>
      <c r="M11" s="77" t="n">
        <v>0</v>
      </c>
      <c r="N11" s="77" t="n">
        <v>1</v>
      </c>
      <c r="O11" s="77" t="n">
        <v>0</v>
      </c>
      <c r="P11" s="77" t="n">
        <v>0</v>
      </c>
      <c r="Q11" s="77" t="n">
        <v>0</v>
      </c>
      <c r="R11" s="17" t="n">
        <f aca="false">J11</f>
        <v>1</v>
      </c>
      <c r="S11" s="17" t="n">
        <f aca="false">K11</f>
        <v>0</v>
      </c>
      <c r="T11" s="17" t="n">
        <f aca="false">L11</f>
        <v>0</v>
      </c>
      <c r="U11" s="17" t="n">
        <f aca="false">M11</f>
        <v>0</v>
      </c>
      <c r="V11" s="78" t="n">
        <f aca="false">CHOOSE(WeightIdx,F11,J11,N11,R11)</f>
        <v>1</v>
      </c>
      <c r="W11" s="78" t="n">
        <f aca="false">CHOOSE(WeightIdx,G11,K11,O11,S11)</f>
        <v>0</v>
      </c>
      <c r="X11" s="78" t="n">
        <f aca="false">CHOOSE(WeightIdx,H11,L11,P11,T11)</f>
        <v>0</v>
      </c>
      <c r="Y11" s="78" t="n">
        <f aca="false">CHOOSE(WeightIdx,I11,M11,Q11,U11)</f>
        <v>0</v>
      </c>
      <c r="Z11" s="17" t="n">
        <f aca="false">SUM(V11:Y11)</f>
        <v>1</v>
      </c>
      <c r="AA11" s="16" t="n">
        <f aca="false">25-SUMPRODUCT(MAX((Engine!$D88:$AA88&lt;&gt;"")*(25-Engine!$D$7:$AA$7)))</f>
        <v>3</v>
      </c>
      <c r="AB11" s="16" t="n">
        <f aca="false">SUMPRODUCT(MAX((Engine!$D88:$AA88&lt;&gt;"")*Engine!$D$7:$AA$7))</f>
        <v>24</v>
      </c>
    </row>
    <row r="12" customFormat="false" ht="15" hidden="false" customHeight="false" outlineLevel="0" collapsed="false">
      <c r="A12" s="16" t="n">
        <v>7</v>
      </c>
      <c r="B12" s="75" t="s">
        <v>156</v>
      </c>
      <c r="C12" s="75" t="s">
        <v>210</v>
      </c>
      <c r="D12" s="76" t="s">
        <v>239</v>
      </c>
      <c r="E12" s="76" t="s">
        <v>240</v>
      </c>
      <c r="F12" s="77" t="n">
        <v>0.51</v>
      </c>
      <c r="G12" s="77" t="n">
        <v>0.49</v>
      </c>
      <c r="H12" s="77" t="n">
        <v>0</v>
      </c>
      <c r="I12" s="77" t="n">
        <v>0</v>
      </c>
      <c r="J12" s="77" t="n">
        <v>0.51</v>
      </c>
      <c r="K12" s="77" t="n">
        <v>0.49</v>
      </c>
      <c r="L12" s="77" t="n">
        <v>0</v>
      </c>
      <c r="M12" s="77" t="n">
        <v>0</v>
      </c>
      <c r="N12" s="77" t="n">
        <v>0.51</v>
      </c>
      <c r="O12" s="77" t="n">
        <v>0.49</v>
      </c>
      <c r="P12" s="77" t="n">
        <v>0</v>
      </c>
      <c r="Q12" s="77" t="n">
        <v>0</v>
      </c>
      <c r="R12" s="17" t="n">
        <f aca="false">J12</f>
        <v>0.51</v>
      </c>
      <c r="S12" s="17" t="n">
        <f aca="false">K12</f>
        <v>0.49</v>
      </c>
      <c r="T12" s="17" t="n">
        <f aca="false">L12</f>
        <v>0</v>
      </c>
      <c r="U12" s="17" t="n">
        <f aca="false">M12</f>
        <v>0</v>
      </c>
      <c r="V12" s="78" t="n">
        <f aca="false">CHOOSE(WeightIdx,F12,J12,N12,R12)</f>
        <v>0.51</v>
      </c>
      <c r="W12" s="78" t="n">
        <f aca="false">CHOOSE(WeightIdx,G12,K12,O12,S12)</f>
        <v>0.49</v>
      </c>
      <c r="X12" s="78" t="n">
        <f aca="false">CHOOSE(WeightIdx,H12,L12,P12,T12)</f>
        <v>0</v>
      </c>
      <c r="Y12" s="78" t="n">
        <f aca="false">CHOOSE(WeightIdx,I12,M12,Q12,U12)</f>
        <v>0</v>
      </c>
      <c r="Z12" s="17" t="n">
        <f aca="false">SUM(V12:Y12)</f>
        <v>1</v>
      </c>
      <c r="AA12" s="16" t="n">
        <f aca="false">25-SUMPRODUCT(MAX((Engine!$D89:$AA89&lt;&gt;"")*(25-Engine!$D$7:$AA$7)))</f>
        <v>2</v>
      </c>
      <c r="AB12" s="16" t="n">
        <f aca="false">SUMPRODUCT(MAX((Engine!$D89:$AA89&lt;&gt;"")*Engine!$D$7:$AA$7))</f>
        <v>24</v>
      </c>
    </row>
    <row r="13" customFormat="false" ht="15" hidden="false" customHeight="false" outlineLevel="0" collapsed="false">
      <c r="A13" s="16" t="n">
        <v>8</v>
      </c>
      <c r="B13" s="75" t="s">
        <v>246</v>
      </c>
      <c r="C13" s="75" t="s">
        <v>210</v>
      </c>
      <c r="D13" s="76" t="s">
        <v>239</v>
      </c>
      <c r="E13" s="76" t="s">
        <v>240</v>
      </c>
      <c r="F13" s="77" t="n">
        <v>0.51</v>
      </c>
      <c r="G13" s="77" t="n">
        <v>0.49</v>
      </c>
      <c r="H13" s="77" t="n">
        <v>0</v>
      </c>
      <c r="I13" s="77" t="n">
        <v>0</v>
      </c>
      <c r="J13" s="77" t="n">
        <v>0.51</v>
      </c>
      <c r="K13" s="77" t="n">
        <v>0.49</v>
      </c>
      <c r="L13" s="77" t="n">
        <v>0</v>
      </c>
      <c r="M13" s="77" t="n">
        <v>0</v>
      </c>
      <c r="N13" s="77" t="n">
        <v>0.51</v>
      </c>
      <c r="O13" s="77" t="n">
        <v>0.49</v>
      </c>
      <c r="P13" s="77" t="n">
        <v>0</v>
      </c>
      <c r="Q13" s="77" t="n">
        <v>0</v>
      </c>
      <c r="R13" s="17" t="n">
        <f aca="false">J13</f>
        <v>0.51</v>
      </c>
      <c r="S13" s="17" t="n">
        <f aca="false">K13</f>
        <v>0.49</v>
      </c>
      <c r="T13" s="17" t="n">
        <f aca="false">L13</f>
        <v>0</v>
      </c>
      <c r="U13" s="17" t="n">
        <f aca="false">M13</f>
        <v>0</v>
      </c>
      <c r="V13" s="78" t="n">
        <f aca="false">CHOOSE(WeightIdx,F13,J13,N13,R13)</f>
        <v>0.51</v>
      </c>
      <c r="W13" s="78" t="n">
        <f aca="false">CHOOSE(WeightIdx,G13,K13,O13,S13)</f>
        <v>0.49</v>
      </c>
      <c r="X13" s="78" t="n">
        <f aca="false">CHOOSE(WeightIdx,H13,L13,P13,T13)</f>
        <v>0</v>
      </c>
      <c r="Y13" s="78" t="n">
        <f aca="false">CHOOSE(WeightIdx,I13,M13,Q13,U13)</f>
        <v>0</v>
      </c>
      <c r="Z13" s="17" t="n">
        <f aca="false">SUM(V13:Y13)</f>
        <v>1</v>
      </c>
      <c r="AA13" s="16" t="n">
        <f aca="false">25-SUMPRODUCT(MAX((Engine!$D90:$AA90&lt;&gt;"")*(25-Engine!$D$7:$AA$7)))</f>
        <v>5</v>
      </c>
      <c r="AB13" s="16" t="n">
        <f aca="false">SUMPRODUCT(MAX((Engine!$D90:$AA90&lt;&gt;"")*Engine!$D$7:$AA$7))</f>
        <v>24</v>
      </c>
    </row>
    <row r="14" customFormat="false" ht="15" hidden="false" customHeight="false" outlineLevel="0" collapsed="false">
      <c r="A14" s="16" t="n">
        <v>9</v>
      </c>
      <c r="B14" s="75" t="s">
        <v>247</v>
      </c>
      <c r="C14" s="75" t="s">
        <v>210</v>
      </c>
      <c r="D14" s="76" t="s">
        <v>239</v>
      </c>
      <c r="E14" s="76" t="s">
        <v>240</v>
      </c>
      <c r="F14" s="77" t="n">
        <v>0.51</v>
      </c>
      <c r="G14" s="77" t="n">
        <v>0.49</v>
      </c>
      <c r="H14" s="77" t="n">
        <v>0</v>
      </c>
      <c r="I14" s="77" t="n">
        <v>0</v>
      </c>
      <c r="J14" s="77" t="n">
        <v>0.51</v>
      </c>
      <c r="K14" s="77" t="n">
        <v>0.49</v>
      </c>
      <c r="L14" s="77" t="n">
        <v>0</v>
      </c>
      <c r="M14" s="77" t="n">
        <v>0</v>
      </c>
      <c r="N14" s="77" t="n">
        <v>0.51</v>
      </c>
      <c r="O14" s="77" t="n">
        <v>0.49</v>
      </c>
      <c r="P14" s="77" t="n">
        <v>0</v>
      </c>
      <c r="Q14" s="77" t="n">
        <v>0</v>
      </c>
      <c r="R14" s="17" t="n">
        <f aca="false">J14</f>
        <v>0.51</v>
      </c>
      <c r="S14" s="17" t="n">
        <f aca="false">K14</f>
        <v>0.49</v>
      </c>
      <c r="T14" s="17" t="n">
        <f aca="false">L14</f>
        <v>0</v>
      </c>
      <c r="U14" s="17" t="n">
        <f aca="false">M14</f>
        <v>0</v>
      </c>
      <c r="V14" s="78" t="n">
        <f aca="false">CHOOSE(WeightIdx,F14,J14,N14,R14)</f>
        <v>0.51</v>
      </c>
      <c r="W14" s="78" t="n">
        <f aca="false">CHOOSE(WeightIdx,G14,K14,O14,S14)</f>
        <v>0.49</v>
      </c>
      <c r="X14" s="78" t="n">
        <f aca="false">CHOOSE(WeightIdx,H14,L14,P14,T14)</f>
        <v>0</v>
      </c>
      <c r="Y14" s="78" t="n">
        <f aca="false">CHOOSE(WeightIdx,I14,M14,Q14,U14)</f>
        <v>0</v>
      </c>
      <c r="Z14" s="17" t="n">
        <f aca="false">SUM(V14:Y14)</f>
        <v>1</v>
      </c>
      <c r="AA14" s="16" t="n">
        <f aca="false">25-SUMPRODUCT(MAX((Engine!$D91:$AA91&lt;&gt;"")*(25-Engine!$D$7:$AA$7)))</f>
        <v>5</v>
      </c>
      <c r="AB14" s="16" t="n">
        <f aca="false">SUMPRODUCT(MAX((Engine!$D91:$AA91&lt;&gt;"")*Engine!$D$7:$AA$7))</f>
        <v>24</v>
      </c>
    </row>
    <row r="15" customFormat="false" ht="15" hidden="false" customHeight="false" outlineLevel="0" collapsed="false">
      <c r="A15" s="16" t="n">
        <v>10</v>
      </c>
      <c r="B15" s="75" t="s">
        <v>248</v>
      </c>
      <c r="C15" s="75" t="s">
        <v>210</v>
      </c>
      <c r="D15" s="76" t="s">
        <v>239</v>
      </c>
      <c r="E15" s="76" t="s">
        <v>240</v>
      </c>
      <c r="F15" s="77" t="n">
        <v>0.51</v>
      </c>
      <c r="G15" s="77" t="n">
        <v>0.49</v>
      </c>
      <c r="H15" s="77" t="n">
        <v>0</v>
      </c>
      <c r="I15" s="77" t="n">
        <v>0</v>
      </c>
      <c r="J15" s="77" t="n">
        <v>0.51</v>
      </c>
      <c r="K15" s="77" t="n">
        <v>0.49</v>
      </c>
      <c r="L15" s="77" t="n">
        <v>0</v>
      </c>
      <c r="M15" s="77" t="n">
        <v>0</v>
      </c>
      <c r="N15" s="77" t="n">
        <v>0.51</v>
      </c>
      <c r="O15" s="77" t="n">
        <v>0.49</v>
      </c>
      <c r="P15" s="77" t="n">
        <v>0</v>
      </c>
      <c r="Q15" s="77" t="n">
        <v>0</v>
      </c>
      <c r="R15" s="17" t="n">
        <f aca="false">J15</f>
        <v>0.51</v>
      </c>
      <c r="S15" s="17" t="n">
        <f aca="false">K15</f>
        <v>0.49</v>
      </c>
      <c r="T15" s="17" t="n">
        <f aca="false">L15</f>
        <v>0</v>
      </c>
      <c r="U15" s="17" t="n">
        <f aca="false">M15</f>
        <v>0</v>
      </c>
      <c r="V15" s="78" t="n">
        <f aca="false">CHOOSE(WeightIdx,F15,J15,N15,R15)</f>
        <v>0.51</v>
      </c>
      <c r="W15" s="78" t="n">
        <f aca="false">CHOOSE(WeightIdx,G15,K15,O15,S15)</f>
        <v>0.49</v>
      </c>
      <c r="X15" s="78" t="n">
        <f aca="false">CHOOSE(WeightIdx,H15,L15,P15,T15)</f>
        <v>0</v>
      </c>
      <c r="Y15" s="78" t="n">
        <f aca="false">CHOOSE(WeightIdx,I15,M15,Q15,U15)</f>
        <v>0</v>
      </c>
      <c r="Z15" s="17" t="n">
        <f aca="false">SUM(V15:Y15)</f>
        <v>1</v>
      </c>
      <c r="AA15" s="16" t="n">
        <f aca="false">25-SUMPRODUCT(MAX((Engine!$D92:$AA92&lt;&gt;"")*(25-Engine!$D$7:$AA$7)))</f>
        <v>5</v>
      </c>
      <c r="AB15" s="16" t="n">
        <f aca="false">SUMPRODUCT(MAX((Engine!$D92:$AA92&lt;&gt;"")*Engine!$D$7:$AA$7))</f>
        <v>24</v>
      </c>
    </row>
    <row r="16" customFormat="false" ht="15" hidden="false" customHeight="false" outlineLevel="0" collapsed="false">
      <c r="A16" s="16" t="n">
        <v>11</v>
      </c>
      <c r="B16" s="75" t="s">
        <v>249</v>
      </c>
      <c r="C16" s="75" t="s">
        <v>210</v>
      </c>
      <c r="D16" s="76" t="s">
        <v>239</v>
      </c>
      <c r="E16" s="76" t="s">
        <v>240</v>
      </c>
      <c r="F16" s="77" t="n">
        <v>0.51</v>
      </c>
      <c r="G16" s="77" t="n">
        <v>0.49</v>
      </c>
      <c r="H16" s="77" t="n">
        <v>0</v>
      </c>
      <c r="I16" s="77" t="n">
        <v>0</v>
      </c>
      <c r="J16" s="77" t="n">
        <v>0.51</v>
      </c>
      <c r="K16" s="77" t="n">
        <v>0.49</v>
      </c>
      <c r="L16" s="77" t="n">
        <v>0</v>
      </c>
      <c r="M16" s="77" t="n">
        <v>0</v>
      </c>
      <c r="N16" s="77" t="n">
        <v>0.51</v>
      </c>
      <c r="O16" s="77" t="n">
        <v>0.49</v>
      </c>
      <c r="P16" s="77" t="n">
        <v>0</v>
      </c>
      <c r="Q16" s="77" t="n">
        <v>0</v>
      </c>
      <c r="R16" s="17" t="n">
        <f aca="false">J16</f>
        <v>0.51</v>
      </c>
      <c r="S16" s="17" t="n">
        <f aca="false">K16</f>
        <v>0.49</v>
      </c>
      <c r="T16" s="17" t="n">
        <f aca="false">L16</f>
        <v>0</v>
      </c>
      <c r="U16" s="17" t="n">
        <f aca="false">M16</f>
        <v>0</v>
      </c>
      <c r="V16" s="78" t="n">
        <f aca="false">CHOOSE(WeightIdx,F16,J16,N16,R16)</f>
        <v>0.51</v>
      </c>
      <c r="W16" s="78" t="n">
        <f aca="false">CHOOSE(WeightIdx,G16,K16,O16,S16)</f>
        <v>0.49</v>
      </c>
      <c r="X16" s="78" t="n">
        <f aca="false">CHOOSE(WeightIdx,H16,L16,P16,T16)</f>
        <v>0</v>
      </c>
      <c r="Y16" s="78" t="n">
        <f aca="false">CHOOSE(WeightIdx,I16,M16,Q16,U16)</f>
        <v>0</v>
      </c>
      <c r="Z16" s="17" t="n">
        <f aca="false">SUM(V16:Y16)</f>
        <v>1</v>
      </c>
      <c r="AA16" s="16" t="n">
        <f aca="false">25-SUMPRODUCT(MAX((Engine!$D93:$AA93&lt;&gt;"")*(25-Engine!$D$7:$AA$7)))</f>
        <v>3</v>
      </c>
      <c r="AB16" s="16" t="n">
        <f aca="false">SUMPRODUCT(MAX((Engine!$D93:$AA93&lt;&gt;"")*Engine!$D$7:$AA$7))</f>
        <v>10</v>
      </c>
    </row>
    <row r="17" customFormat="false" ht="15" hidden="false" customHeight="false" outlineLevel="0" collapsed="false">
      <c r="A17" s="16" t="n">
        <v>12</v>
      </c>
      <c r="B17" s="75" t="s">
        <v>250</v>
      </c>
      <c r="C17" s="75" t="s">
        <v>210</v>
      </c>
      <c r="D17" s="76" t="s">
        <v>239</v>
      </c>
      <c r="E17" s="76" t="s">
        <v>240</v>
      </c>
      <c r="F17" s="77" t="n">
        <v>0.51</v>
      </c>
      <c r="G17" s="77" t="n">
        <v>0.49</v>
      </c>
      <c r="H17" s="77" t="n">
        <v>0</v>
      </c>
      <c r="I17" s="77" t="n">
        <v>0</v>
      </c>
      <c r="J17" s="77" t="n">
        <v>0.51</v>
      </c>
      <c r="K17" s="77" t="n">
        <v>0.49</v>
      </c>
      <c r="L17" s="77" t="n">
        <v>0</v>
      </c>
      <c r="M17" s="77" t="n">
        <v>0</v>
      </c>
      <c r="N17" s="77" t="n">
        <v>0.51</v>
      </c>
      <c r="O17" s="77" t="n">
        <v>0.49</v>
      </c>
      <c r="P17" s="77" t="n">
        <v>0</v>
      </c>
      <c r="Q17" s="77" t="n">
        <v>0</v>
      </c>
      <c r="R17" s="17" t="n">
        <f aca="false">J17</f>
        <v>0.51</v>
      </c>
      <c r="S17" s="17" t="n">
        <f aca="false">K17</f>
        <v>0.49</v>
      </c>
      <c r="T17" s="17" t="n">
        <f aca="false">L17</f>
        <v>0</v>
      </c>
      <c r="U17" s="17" t="n">
        <f aca="false">M17</f>
        <v>0</v>
      </c>
      <c r="V17" s="78" t="n">
        <f aca="false">CHOOSE(WeightIdx,F17,J17,N17,R17)</f>
        <v>0.51</v>
      </c>
      <c r="W17" s="78" t="n">
        <f aca="false">CHOOSE(WeightIdx,G17,K17,O17,S17)</f>
        <v>0.49</v>
      </c>
      <c r="X17" s="78" t="n">
        <f aca="false">CHOOSE(WeightIdx,H17,L17,P17,T17)</f>
        <v>0</v>
      </c>
      <c r="Y17" s="78" t="n">
        <f aca="false">CHOOSE(WeightIdx,I17,M17,Q17,U17)</f>
        <v>0</v>
      </c>
      <c r="Z17" s="17" t="n">
        <f aca="false">SUM(V17:Y17)</f>
        <v>1</v>
      </c>
      <c r="AA17" s="16" t="n">
        <f aca="false">25-SUMPRODUCT(MAX((Engine!$D94:$AA94&lt;&gt;"")*(25-Engine!$D$7:$AA$7)))</f>
        <v>3</v>
      </c>
      <c r="AB17" s="16" t="n">
        <f aca="false">SUMPRODUCT(MAX((Engine!$D94:$AA94&lt;&gt;"")*Engine!$D$7:$AA$7))</f>
        <v>10</v>
      </c>
    </row>
    <row r="18" customFormat="false" ht="15" hidden="false" customHeight="false" outlineLevel="0" collapsed="false">
      <c r="A18" s="16" t="n">
        <v>13</v>
      </c>
      <c r="B18" s="75" t="s">
        <v>251</v>
      </c>
      <c r="C18" s="75" t="s">
        <v>210</v>
      </c>
      <c r="D18" s="76" t="s">
        <v>239</v>
      </c>
      <c r="E18" s="76" t="s">
        <v>240</v>
      </c>
      <c r="F18" s="77" t="n">
        <v>0.51</v>
      </c>
      <c r="G18" s="77" t="n">
        <v>0.49</v>
      </c>
      <c r="H18" s="77" t="n">
        <v>0</v>
      </c>
      <c r="I18" s="77" t="n">
        <v>0</v>
      </c>
      <c r="J18" s="77" t="n">
        <v>0.51</v>
      </c>
      <c r="K18" s="77" t="n">
        <v>0.49</v>
      </c>
      <c r="L18" s="77" t="n">
        <v>0</v>
      </c>
      <c r="M18" s="77" t="n">
        <v>0</v>
      </c>
      <c r="N18" s="77" t="n">
        <v>0.51</v>
      </c>
      <c r="O18" s="77" t="n">
        <v>0.49</v>
      </c>
      <c r="P18" s="77" t="n">
        <v>0</v>
      </c>
      <c r="Q18" s="77" t="n">
        <v>0</v>
      </c>
      <c r="R18" s="17" t="n">
        <f aca="false">J18</f>
        <v>0.51</v>
      </c>
      <c r="S18" s="17" t="n">
        <f aca="false">K18</f>
        <v>0.49</v>
      </c>
      <c r="T18" s="17" t="n">
        <f aca="false">L18</f>
        <v>0</v>
      </c>
      <c r="U18" s="17" t="n">
        <f aca="false">M18</f>
        <v>0</v>
      </c>
      <c r="V18" s="78" t="n">
        <f aca="false">CHOOSE(WeightIdx,F18,J18,N18,R18)</f>
        <v>0.51</v>
      </c>
      <c r="W18" s="78" t="n">
        <f aca="false">CHOOSE(WeightIdx,G18,K18,O18,S18)</f>
        <v>0.49</v>
      </c>
      <c r="X18" s="78" t="n">
        <f aca="false">CHOOSE(WeightIdx,H18,L18,P18,T18)</f>
        <v>0</v>
      </c>
      <c r="Y18" s="78" t="n">
        <f aca="false">CHOOSE(WeightIdx,I18,M18,Q18,U18)</f>
        <v>0</v>
      </c>
      <c r="Z18" s="17" t="n">
        <f aca="false">SUM(V18:Y18)</f>
        <v>1</v>
      </c>
      <c r="AA18" s="16" t="n">
        <f aca="false">25-SUMPRODUCT(MAX((Engine!$D95:$AA95&lt;&gt;"")*(25-Engine!$D$7:$AA$7)))</f>
        <v>3</v>
      </c>
      <c r="AB18" s="16" t="n">
        <f aca="false">SUMPRODUCT(MAX((Engine!$D95:$AA95&lt;&gt;"")*Engine!$D$7:$AA$7))</f>
        <v>10</v>
      </c>
    </row>
    <row r="19" customFormat="false" ht="15" hidden="false" customHeight="false" outlineLevel="0" collapsed="false">
      <c r="A19" s="16" t="n">
        <v>14</v>
      </c>
      <c r="B19" s="75" t="s">
        <v>161</v>
      </c>
      <c r="C19" s="75" t="s">
        <v>209</v>
      </c>
      <c r="D19" s="76" t="s">
        <v>239</v>
      </c>
      <c r="E19" s="76" t="s">
        <v>240</v>
      </c>
      <c r="F19" s="77" t="n">
        <v>0.4</v>
      </c>
      <c r="G19" s="77" t="n">
        <v>0</v>
      </c>
      <c r="H19" s="77" t="n">
        <v>0.6</v>
      </c>
      <c r="I19" s="77" t="n">
        <v>0</v>
      </c>
      <c r="J19" s="77" t="n">
        <v>0.55</v>
      </c>
      <c r="K19" s="77" t="n">
        <v>0</v>
      </c>
      <c r="L19" s="77" t="n">
        <v>0.45</v>
      </c>
      <c r="M19" s="77" t="n">
        <v>0</v>
      </c>
      <c r="N19" s="77" t="n">
        <v>0.6</v>
      </c>
      <c r="O19" s="77" t="n">
        <v>0</v>
      </c>
      <c r="P19" s="77" t="n">
        <v>0.4</v>
      </c>
      <c r="Q19" s="77" t="n">
        <v>0</v>
      </c>
      <c r="R19" s="17" t="n">
        <f aca="false">J19</f>
        <v>0.55</v>
      </c>
      <c r="S19" s="17" t="n">
        <f aca="false">K19</f>
        <v>0</v>
      </c>
      <c r="T19" s="17" t="n">
        <f aca="false">L19</f>
        <v>0.45</v>
      </c>
      <c r="U19" s="17" t="n">
        <f aca="false">M19</f>
        <v>0</v>
      </c>
      <c r="V19" s="78" t="n">
        <f aca="false">CHOOSE(WeightIdx,F19,J19,N19,R19)</f>
        <v>0.55</v>
      </c>
      <c r="W19" s="78" t="n">
        <f aca="false">CHOOSE(WeightIdx,G19,K19,O19,S19)</f>
        <v>0</v>
      </c>
      <c r="X19" s="78" t="n">
        <f aca="false">CHOOSE(WeightIdx,H19,L19,P19,T19)</f>
        <v>0.45</v>
      </c>
      <c r="Y19" s="78" t="n">
        <f aca="false">CHOOSE(WeightIdx,I19,M19,Q19,U19)</f>
        <v>0</v>
      </c>
      <c r="Z19" s="17" t="n">
        <f aca="false">SUM(V19:Y19)</f>
        <v>1</v>
      </c>
      <c r="AA19" s="16" t="n">
        <f aca="false">25-SUMPRODUCT(MAX((Engine!$D96:$AA96&lt;&gt;"")*(25-Engine!$D$7:$AA$7)))</f>
        <v>5</v>
      </c>
      <c r="AB19" s="16" t="n">
        <f aca="false">SUMPRODUCT(MAX((Engine!$D96:$AA96&lt;&gt;"")*Engine!$D$7:$AA$7))</f>
        <v>24</v>
      </c>
    </row>
    <row r="20" customFormat="false" ht="15" hidden="false" customHeight="false" outlineLevel="0" collapsed="false">
      <c r="A20" s="16" t="n">
        <v>15</v>
      </c>
      <c r="B20" s="75" t="s">
        <v>252</v>
      </c>
      <c r="C20" s="75" t="s">
        <v>209</v>
      </c>
      <c r="D20" s="76" t="s">
        <v>239</v>
      </c>
      <c r="E20" s="76" t="s">
        <v>240</v>
      </c>
      <c r="F20" s="77" t="n">
        <v>0.55</v>
      </c>
      <c r="G20" s="77" t="n">
        <v>0</v>
      </c>
      <c r="H20" s="77" t="n">
        <v>0.45</v>
      </c>
      <c r="I20" s="77" t="n">
        <v>0</v>
      </c>
      <c r="J20" s="77" t="n">
        <v>0.55</v>
      </c>
      <c r="K20" s="77" t="n">
        <v>0</v>
      </c>
      <c r="L20" s="77" t="n">
        <v>0.45</v>
      </c>
      <c r="M20" s="77" t="n">
        <v>0</v>
      </c>
      <c r="N20" s="77" t="n">
        <v>0.6</v>
      </c>
      <c r="O20" s="77" t="n">
        <v>0</v>
      </c>
      <c r="P20" s="77" t="n">
        <v>0.4</v>
      </c>
      <c r="Q20" s="77" t="n">
        <v>0</v>
      </c>
      <c r="R20" s="17" t="n">
        <f aca="false">J20</f>
        <v>0.55</v>
      </c>
      <c r="S20" s="17" t="n">
        <f aca="false">K20</f>
        <v>0</v>
      </c>
      <c r="T20" s="17" t="n">
        <f aca="false">L20</f>
        <v>0.45</v>
      </c>
      <c r="U20" s="17" t="n">
        <f aca="false">M20</f>
        <v>0</v>
      </c>
      <c r="V20" s="78" t="n">
        <f aca="false">CHOOSE(WeightIdx,F20,J20,N20,R20)</f>
        <v>0.55</v>
      </c>
      <c r="W20" s="78" t="n">
        <f aca="false">CHOOSE(WeightIdx,G20,K20,O20,S20)</f>
        <v>0</v>
      </c>
      <c r="X20" s="78" t="n">
        <f aca="false">CHOOSE(WeightIdx,H20,L20,P20,T20)</f>
        <v>0.45</v>
      </c>
      <c r="Y20" s="78" t="n">
        <f aca="false">CHOOSE(WeightIdx,I20,M20,Q20,U20)</f>
        <v>0</v>
      </c>
      <c r="Z20" s="17" t="n">
        <f aca="false">SUM(V20:Y20)</f>
        <v>1</v>
      </c>
      <c r="AA20" s="16" t="n">
        <f aca="false">25-SUMPRODUCT(MAX((Engine!$D97:$AA97&lt;&gt;"")*(25-Engine!$D$7:$AA$7)))</f>
        <v>5</v>
      </c>
      <c r="AB20" s="16" t="n">
        <f aca="false">SUMPRODUCT(MAX((Engine!$D97:$AA97&lt;&gt;"")*Engine!$D$7:$AA$7))</f>
        <v>24</v>
      </c>
    </row>
    <row r="21" customFormat="false" ht="15" hidden="false" customHeight="false" outlineLevel="0" collapsed="false">
      <c r="A21" s="16" t="n">
        <v>16</v>
      </c>
      <c r="B21" s="75" t="s">
        <v>253</v>
      </c>
      <c r="C21" s="75" t="s">
        <v>211</v>
      </c>
      <c r="D21" s="76" t="s">
        <v>239</v>
      </c>
      <c r="E21" s="76" t="s">
        <v>240</v>
      </c>
      <c r="F21" s="77" t="n">
        <v>0.33</v>
      </c>
      <c r="G21" s="77" t="n">
        <v>0</v>
      </c>
      <c r="H21" s="77" t="n">
        <v>0.67</v>
      </c>
      <c r="I21" s="77" t="n">
        <v>0</v>
      </c>
      <c r="J21" s="77" t="n">
        <v>0.44</v>
      </c>
      <c r="K21" s="77" t="n">
        <v>0</v>
      </c>
      <c r="L21" s="77" t="n">
        <v>0.56</v>
      </c>
      <c r="M21" s="77" t="n">
        <v>0</v>
      </c>
      <c r="N21" s="77" t="n">
        <v>0.53</v>
      </c>
      <c r="O21" s="77" t="n">
        <v>0</v>
      </c>
      <c r="P21" s="77" t="n">
        <v>0.47</v>
      </c>
      <c r="Q21" s="77" t="n">
        <v>0</v>
      </c>
      <c r="R21" s="17" t="n">
        <f aca="false">J21</f>
        <v>0.44</v>
      </c>
      <c r="S21" s="17" t="n">
        <f aca="false">K21</f>
        <v>0</v>
      </c>
      <c r="T21" s="17" t="n">
        <f aca="false">L21</f>
        <v>0.56</v>
      </c>
      <c r="U21" s="17" t="n">
        <f aca="false">M21</f>
        <v>0</v>
      </c>
      <c r="V21" s="78" t="n">
        <f aca="false">CHOOSE(WeightIdx,F21,J21,N21,R21)</f>
        <v>0.44</v>
      </c>
      <c r="W21" s="78" t="n">
        <f aca="false">CHOOSE(WeightIdx,G21,K21,O21,S21)</f>
        <v>0</v>
      </c>
      <c r="X21" s="78" t="n">
        <f aca="false">CHOOSE(WeightIdx,H21,L21,P21,T21)</f>
        <v>0.56</v>
      </c>
      <c r="Y21" s="78" t="n">
        <f aca="false">CHOOSE(WeightIdx,I21,M21,Q21,U21)</f>
        <v>0</v>
      </c>
      <c r="Z21" s="17" t="n">
        <f aca="false">SUM(V21:Y21)</f>
        <v>1</v>
      </c>
      <c r="AA21" s="16" t="n">
        <f aca="false">25-SUMPRODUCT(MAX((Engine!$D98:$AA98&lt;&gt;"")*(25-Engine!$D$7:$AA$7)))</f>
        <v>5</v>
      </c>
      <c r="AB21" s="16" t="n">
        <f aca="false">SUMPRODUCT(MAX((Engine!$D98:$AA98&lt;&gt;"")*Engine!$D$7:$AA$7))</f>
        <v>24</v>
      </c>
    </row>
    <row r="22" customFormat="false" ht="15" hidden="false" customHeight="false" outlineLevel="0" collapsed="false">
      <c r="A22" s="16" t="n">
        <v>17</v>
      </c>
      <c r="B22" s="75" t="s">
        <v>254</v>
      </c>
      <c r="C22" s="75" t="s">
        <v>211</v>
      </c>
      <c r="D22" s="76" t="s">
        <v>239</v>
      </c>
      <c r="E22" s="76" t="s">
        <v>240</v>
      </c>
      <c r="F22" s="77" t="n">
        <v>0.36</v>
      </c>
      <c r="G22" s="77" t="n">
        <v>0</v>
      </c>
      <c r="H22" s="77" t="n">
        <v>0.64</v>
      </c>
      <c r="I22" s="77" t="n">
        <v>0</v>
      </c>
      <c r="J22" s="77" t="n">
        <v>0.42</v>
      </c>
      <c r="K22" s="77" t="n">
        <v>0</v>
      </c>
      <c r="L22" s="77" t="n">
        <v>0.58</v>
      </c>
      <c r="M22" s="77" t="n">
        <v>0</v>
      </c>
      <c r="N22" s="77" t="n">
        <v>0.47</v>
      </c>
      <c r="O22" s="77" t="n">
        <v>0</v>
      </c>
      <c r="P22" s="77" t="n">
        <v>0.53</v>
      </c>
      <c r="Q22" s="77" t="n">
        <v>0</v>
      </c>
      <c r="R22" s="17" t="n">
        <f aca="false">J22</f>
        <v>0.42</v>
      </c>
      <c r="S22" s="17" t="n">
        <f aca="false">K22</f>
        <v>0</v>
      </c>
      <c r="T22" s="17" t="n">
        <f aca="false">L22</f>
        <v>0.58</v>
      </c>
      <c r="U22" s="17" t="n">
        <f aca="false">M22</f>
        <v>0</v>
      </c>
      <c r="V22" s="78" t="n">
        <f aca="false">CHOOSE(WeightIdx,F22,J22,N22,R22)</f>
        <v>0.42</v>
      </c>
      <c r="W22" s="78" t="n">
        <f aca="false">CHOOSE(WeightIdx,G22,K22,O22,S22)</f>
        <v>0</v>
      </c>
      <c r="X22" s="78" t="n">
        <f aca="false">CHOOSE(WeightIdx,H22,L22,P22,T22)</f>
        <v>0.58</v>
      </c>
      <c r="Y22" s="78" t="n">
        <f aca="false">CHOOSE(WeightIdx,I22,M22,Q22,U22)</f>
        <v>0</v>
      </c>
      <c r="Z22" s="17" t="n">
        <f aca="false">SUM(V22:Y22)</f>
        <v>1</v>
      </c>
      <c r="AA22" s="16" t="n">
        <f aca="false">25-SUMPRODUCT(MAX((Engine!$D99:$AA99&lt;&gt;"")*(25-Engine!$D$7:$AA$7)))</f>
        <v>5</v>
      </c>
      <c r="AB22" s="16" t="n">
        <f aca="false">SUMPRODUCT(MAX((Engine!$D99:$AA99&lt;&gt;"")*Engine!$D$7:$AA$7))</f>
        <v>24</v>
      </c>
    </row>
    <row r="23" customFormat="false" ht="15" hidden="false" customHeight="false" outlineLevel="0" collapsed="false">
      <c r="A23" s="16" t="n">
        <v>18</v>
      </c>
      <c r="B23" s="75" t="s">
        <v>255</v>
      </c>
      <c r="C23" s="75" t="s">
        <v>211</v>
      </c>
      <c r="D23" s="76" t="s">
        <v>239</v>
      </c>
      <c r="E23" s="76" t="s">
        <v>240</v>
      </c>
      <c r="F23" s="77" t="n">
        <v>0.39</v>
      </c>
      <c r="G23" s="77" t="n">
        <v>0</v>
      </c>
      <c r="H23" s="77" t="n">
        <v>0.61</v>
      </c>
      <c r="I23" s="77" t="n">
        <v>0</v>
      </c>
      <c r="J23" s="77" t="n">
        <v>0.4</v>
      </c>
      <c r="K23" s="77" t="n">
        <v>0</v>
      </c>
      <c r="L23" s="77" t="n">
        <v>0.6</v>
      </c>
      <c r="M23" s="77" t="n">
        <v>0</v>
      </c>
      <c r="N23" s="77" t="n">
        <v>0.41</v>
      </c>
      <c r="O23" s="77" t="n">
        <v>0</v>
      </c>
      <c r="P23" s="77" t="n">
        <v>0.59</v>
      </c>
      <c r="Q23" s="77" t="n">
        <v>0</v>
      </c>
      <c r="R23" s="17" t="n">
        <f aca="false">J23</f>
        <v>0.4</v>
      </c>
      <c r="S23" s="17" t="n">
        <f aca="false">K23</f>
        <v>0</v>
      </c>
      <c r="T23" s="17" t="n">
        <f aca="false">L23</f>
        <v>0.6</v>
      </c>
      <c r="U23" s="17" t="n">
        <f aca="false">M23</f>
        <v>0</v>
      </c>
      <c r="V23" s="78" t="n">
        <f aca="false">CHOOSE(WeightIdx,F23,J23,N23,R23)</f>
        <v>0.4</v>
      </c>
      <c r="W23" s="78" t="n">
        <f aca="false">CHOOSE(WeightIdx,G23,K23,O23,S23)</f>
        <v>0</v>
      </c>
      <c r="X23" s="78" t="n">
        <f aca="false">CHOOSE(WeightIdx,H23,L23,P23,T23)</f>
        <v>0.6</v>
      </c>
      <c r="Y23" s="78" t="n">
        <f aca="false">CHOOSE(WeightIdx,I23,M23,Q23,U23)</f>
        <v>0</v>
      </c>
      <c r="Z23" s="17" t="n">
        <f aca="false">SUM(V23:Y23)</f>
        <v>1</v>
      </c>
      <c r="AA23" s="16" t="n">
        <f aca="false">25-SUMPRODUCT(MAX((Engine!$D100:$AA100&lt;&gt;"")*(25-Engine!$D$7:$AA$7)))</f>
        <v>5</v>
      </c>
      <c r="AB23" s="16" t="n">
        <f aca="false">SUMPRODUCT(MAX((Engine!$D100:$AA100&lt;&gt;"")*Engine!$D$7:$AA$7))</f>
        <v>24</v>
      </c>
    </row>
    <row r="24" customFormat="false" ht="15" hidden="false" customHeight="false" outlineLevel="0" collapsed="false">
      <c r="A24" s="16" t="n">
        <v>19</v>
      </c>
      <c r="B24" s="75" t="s">
        <v>256</v>
      </c>
      <c r="C24" s="75" t="s">
        <v>211</v>
      </c>
      <c r="D24" s="76" t="s">
        <v>239</v>
      </c>
      <c r="E24" s="76" t="s">
        <v>240</v>
      </c>
      <c r="F24" s="77" t="n">
        <v>0.4</v>
      </c>
      <c r="G24" s="77" t="n">
        <v>0</v>
      </c>
      <c r="H24" s="77" t="n">
        <v>0.6</v>
      </c>
      <c r="I24" s="77" t="n">
        <v>0</v>
      </c>
      <c r="J24" s="77" t="n">
        <v>0.55</v>
      </c>
      <c r="K24" s="77" t="n">
        <v>0</v>
      </c>
      <c r="L24" s="77" t="n">
        <v>0.45</v>
      </c>
      <c r="M24" s="77" t="n">
        <v>0</v>
      </c>
      <c r="N24" s="77" t="n">
        <v>0.6</v>
      </c>
      <c r="O24" s="77" t="n">
        <v>0</v>
      </c>
      <c r="P24" s="77" t="n">
        <v>0.4</v>
      </c>
      <c r="Q24" s="77" t="n">
        <v>0</v>
      </c>
      <c r="R24" s="17" t="n">
        <f aca="false">J24</f>
        <v>0.55</v>
      </c>
      <c r="S24" s="17" t="n">
        <f aca="false">K24</f>
        <v>0</v>
      </c>
      <c r="T24" s="17" t="n">
        <f aca="false">L24</f>
        <v>0.45</v>
      </c>
      <c r="U24" s="17" t="n">
        <f aca="false">M24</f>
        <v>0</v>
      </c>
      <c r="V24" s="78" t="n">
        <f aca="false">CHOOSE(WeightIdx,F24,J24,N24,R24)</f>
        <v>0.55</v>
      </c>
      <c r="W24" s="78" t="n">
        <f aca="false">CHOOSE(WeightIdx,G24,K24,O24,S24)</f>
        <v>0</v>
      </c>
      <c r="X24" s="78" t="n">
        <f aca="false">CHOOSE(WeightIdx,H24,L24,P24,T24)</f>
        <v>0.45</v>
      </c>
      <c r="Y24" s="78" t="n">
        <f aca="false">CHOOSE(WeightIdx,I24,M24,Q24,U24)</f>
        <v>0</v>
      </c>
      <c r="Z24" s="17" t="n">
        <f aca="false">SUM(V24:Y24)</f>
        <v>1</v>
      </c>
      <c r="AA24" s="16" t="n">
        <f aca="false">25-SUMPRODUCT(MAX((Engine!$D101:$AA101&lt;&gt;"")*(25-Engine!$D$7:$AA$7)))</f>
        <v>5</v>
      </c>
      <c r="AB24" s="16" t="n">
        <f aca="false">SUMPRODUCT(MAX((Engine!$D101:$AA101&lt;&gt;"")*Engine!$D$7:$AA$7))</f>
        <v>24</v>
      </c>
    </row>
    <row r="25" customFormat="false" ht="15" hidden="false" customHeight="false" outlineLevel="0" collapsed="false">
      <c r="A25" s="16" t="n">
        <v>20</v>
      </c>
      <c r="B25" s="75" t="s">
        <v>257</v>
      </c>
      <c r="C25" s="75" t="s">
        <v>209</v>
      </c>
      <c r="D25" s="76" t="s">
        <v>239</v>
      </c>
      <c r="E25" s="76" t="s">
        <v>240</v>
      </c>
      <c r="F25" s="77" t="n">
        <v>0.45</v>
      </c>
      <c r="G25" s="77" t="n">
        <v>0</v>
      </c>
      <c r="H25" s="77" t="n">
        <v>0.3</v>
      </c>
      <c r="I25" s="77" t="n">
        <v>0.25</v>
      </c>
      <c r="J25" s="77" t="n">
        <v>0.42</v>
      </c>
      <c r="K25" s="77" t="n">
        <v>0</v>
      </c>
      <c r="L25" s="77" t="n">
        <v>0.3</v>
      </c>
      <c r="M25" s="77" t="n">
        <v>0.28</v>
      </c>
      <c r="N25" s="77" t="n">
        <v>0.45</v>
      </c>
      <c r="O25" s="77" t="n">
        <v>0</v>
      </c>
      <c r="P25" s="77" t="n">
        <v>0.3</v>
      </c>
      <c r="Q25" s="77" t="n">
        <v>0.25</v>
      </c>
      <c r="R25" s="17" t="n">
        <f aca="false">J25</f>
        <v>0.42</v>
      </c>
      <c r="S25" s="17" t="n">
        <f aca="false">K25</f>
        <v>0</v>
      </c>
      <c r="T25" s="17" t="n">
        <f aca="false">L25</f>
        <v>0.3</v>
      </c>
      <c r="U25" s="17" t="n">
        <f aca="false">M25</f>
        <v>0.28</v>
      </c>
      <c r="V25" s="78" t="n">
        <f aca="false">CHOOSE(WeightIdx,F25,J25,N25,R25)</f>
        <v>0.42</v>
      </c>
      <c r="W25" s="78" t="n">
        <f aca="false">CHOOSE(WeightIdx,G25,K25,O25,S25)</f>
        <v>0</v>
      </c>
      <c r="X25" s="78" t="n">
        <f aca="false">CHOOSE(WeightIdx,H25,L25,P25,T25)</f>
        <v>0.3</v>
      </c>
      <c r="Y25" s="78" t="n">
        <f aca="false">CHOOSE(WeightIdx,I25,M25,Q25,U25)</f>
        <v>0.28</v>
      </c>
      <c r="Z25" s="17" t="n">
        <f aca="false">SUM(V25:Y25)</f>
        <v>1</v>
      </c>
      <c r="AA25" s="16" t="n">
        <f aca="false">25-SUMPRODUCT(MAX((Engine!$D102:$AA102&lt;&gt;"")*(25-Engine!$D$7:$AA$7)))</f>
        <v>5</v>
      </c>
      <c r="AB25" s="16" t="n">
        <f aca="false">SUMPRODUCT(MAX((Engine!$D102:$AA102&lt;&gt;"")*Engine!$D$7:$AA$7))</f>
        <v>24</v>
      </c>
    </row>
    <row r="26" customFormat="false" ht="15" hidden="false" customHeight="false" outlineLevel="0" collapsed="false">
      <c r="A26" s="16" t="n">
        <v>21</v>
      </c>
      <c r="B26" s="75" t="s">
        <v>258</v>
      </c>
      <c r="C26" s="75" t="s">
        <v>209</v>
      </c>
      <c r="D26" s="76" t="s">
        <v>239</v>
      </c>
      <c r="E26" s="76" t="s">
        <v>240</v>
      </c>
      <c r="F26" s="77" t="n">
        <v>0.55</v>
      </c>
      <c r="G26" s="77" t="n">
        <v>0</v>
      </c>
      <c r="H26" s="77" t="n">
        <v>0.45</v>
      </c>
      <c r="I26" s="77" t="n">
        <v>0</v>
      </c>
      <c r="J26" s="77" t="n">
        <v>0.55</v>
      </c>
      <c r="K26" s="77" t="n">
        <v>0</v>
      </c>
      <c r="L26" s="77" t="n">
        <v>0.45</v>
      </c>
      <c r="M26" s="77" t="n">
        <v>0</v>
      </c>
      <c r="N26" s="77" t="n">
        <v>0.55</v>
      </c>
      <c r="O26" s="77" t="n">
        <v>0</v>
      </c>
      <c r="P26" s="77" t="n">
        <v>0.45</v>
      </c>
      <c r="Q26" s="77" t="n">
        <v>0</v>
      </c>
      <c r="R26" s="17" t="n">
        <f aca="false">J26</f>
        <v>0.55</v>
      </c>
      <c r="S26" s="17" t="n">
        <f aca="false">K26</f>
        <v>0</v>
      </c>
      <c r="T26" s="17" t="n">
        <f aca="false">L26</f>
        <v>0.45</v>
      </c>
      <c r="U26" s="17" t="n">
        <f aca="false">M26</f>
        <v>0</v>
      </c>
      <c r="V26" s="78" t="n">
        <f aca="false">CHOOSE(WeightIdx,F26,J26,N26,R26)</f>
        <v>0.55</v>
      </c>
      <c r="W26" s="78" t="n">
        <f aca="false">CHOOSE(WeightIdx,G26,K26,O26,S26)</f>
        <v>0</v>
      </c>
      <c r="X26" s="78" t="n">
        <f aca="false">CHOOSE(WeightIdx,H26,L26,P26,T26)</f>
        <v>0.45</v>
      </c>
      <c r="Y26" s="78" t="n">
        <f aca="false">CHOOSE(WeightIdx,I26,M26,Q26,U26)</f>
        <v>0</v>
      </c>
      <c r="Z26" s="17" t="n">
        <f aca="false">SUM(V26:Y26)</f>
        <v>1</v>
      </c>
      <c r="AA26" s="16" t="n">
        <f aca="false">25-SUMPRODUCT(MAX((Engine!$D103:$AA103&lt;&gt;"")*(25-Engine!$D$7:$AA$7)))</f>
        <v>2</v>
      </c>
      <c r="AB26" s="16" t="n">
        <f aca="false">SUMPRODUCT(MAX((Engine!$D103:$AA103&lt;&gt;"")*Engine!$D$7:$AA$7))</f>
        <v>5</v>
      </c>
    </row>
    <row r="27" customFormat="false" ht="15" hidden="false" customHeight="false" outlineLevel="0" collapsed="false">
      <c r="A27" s="16" t="n">
        <v>22</v>
      </c>
      <c r="B27" s="75" t="s">
        <v>259</v>
      </c>
      <c r="C27" s="75" t="s">
        <v>212</v>
      </c>
      <c r="D27" s="76" t="s">
        <v>239</v>
      </c>
      <c r="E27" s="76" t="s">
        <v>240</v>
      </c>
      <c r="F27" s="77" t="n">
        <v>0.6</v>
      </c>
      <c r="G27" s="77" t="n">
        <v>0</v>
      </c>
      <c r="H27" s="77" t="n">
        <v>0.4</v>
      </c>
      <c r="I27" s="77" t="n">
        <v>0</v>
      </c>
      <c r="J27" s="77" t="n">
        <v>0.6</v>
      </c>
      <c r="K27" s="77" t="n">
        <v>0</v>
      </c>
      <c r="L27" s="77" t="n">
        <v>0.4</v>
      </c>
      <c r="M27" s="77" t="n">
        <v>0</v>
      </c>
      <c r="N27" s="77" t="n">
        <v>0.6</v>
      </c>
      <c r="O27" s="77" t="n">
        <v>0</v>
      </c>
      <c r="P27" s="77" t="n">
        <v>0.4</v>
      </c>
      <c r="Q27" s="77" t="n">
        <v>0</v>
      </c>
      <c r="R27" s="17" t="n">
        <f aca="false">J27</f>
        <v>0.6</v>
      </c>
      <c r="S27" s="17" t="n">
        <f aca="false">K27</f>
        <v>0</v>
      </c>
      <c r="T27" s="17" t="n">
        <f aca="false">L27</f>
        <v>0.4</v>
      </c>
      <c r="U27" s="17" t="n">
        <f aca="false">M27</f>
        <v>0</v>
      </c>
      <c r="V27" s="78" t="n">
        <f aca="false">CHOOSE(WeightIdx,F27,J27,N27,R27)</f>
        <v>0.6</v>
      </c>
      <c r="W27" s="78" t="n">
        <f aca="false">CHOOSE(WeightIdx,G27,K27,O27,S27)</f>
        <v>0</v>
      </c>
      <c r="X27" s="78" t="n">
        <f aca="false">CHOOSE(WeightIdx,H27,L27,P27,T27)</f>
        <v>0.4</v>
      </c>
      <c r="Y27" s="78" t="n">
        <f aca="false">CHOOSE(WeightIdx,I27,M27,Q27,U27)</f>
        <v>0</v>
      </c>
      <c r="Z27" s="17" t="n">
        <f aca="false">SUM(V27:Y27)</f>
        <v>1</v>
      </c>
      <c r="AA27" s="16" t="n">
        <f aca="false">25-SUMPRODUCT(MAX((Engine!$D104:$AA104&lt;&gt;"")*(25-Engine!$D$7:$AA$7)))</f>
        <v>5</v>
      </c>
      <c r="AB27" s="16" t="n">
        <f aca="false">SUMPRODUCT(MAX((Engine!$D104:$AA104&lt;&gt;"")*Engine!$D$7:$AA$7))</f>
        <v>24</v>
      </c>
    </row>
    <row r="28" customFormat="false" ht="15" hidden="false" customHeight="false" outlineLevel="0" collapsed="false">
      <c r="A28" s="16" t="n">
        <v>23</v>
      </c>
      <c r="B28" s="75" t="s">
        <v>260</v>
      </c>
      <c r="C28" s="75" t="s">
        <v>212</v>
      </c>
      <c r="D28" s="76" t="s">
        <v>239</v>
      </c>
      <c r="E28" s="76" t="s">
        <v>240</v>
      </c>
      <c r="F28" s="77" t="n">
        <v>0.6</v>
      </c>
      <c r="G28" s="77" t="n">
        <v>0</v>
      </c>
      <c r="H28" s="77" t="n">
        <v>0.4</v>
      </c>
      <c r="I28" s="77" t="n">
        <v>0</v>
      </c>
      <c r="J28" s="77" t="n">
        <v>0.6</v>
      </c>
      <c r="K28" s="77" t="n">
        <v>0</v>
      </c>
      <c r="L28" s="77" t="n">
        <v>0.4</v>
      </c>
      <c r="M28" s="77" t="n">
        <v>0</v>
      </c>
      <c r="N28" s="77" t="n">
        <v>0.6</v>
      </c>
      <c r="O28" s="77" t="n">
        <v>0</v>
      </c>
      <c r="P28" s="77" t="n">
        <v>0.4</v>
      </c>
      <c r="Q28" s="77" t="n">
        <v>0</v>
      </c>
      <c r="R28" s="17" t="n">
        <f aca="false">J28</f>
        <v>0.6</v>
      </c>
      <c r="S28" s="17" t="n">
        <f aca="false">K28</f>
        <v>0</v>
      </c>
      <c r="T28" s="17" t="n">
        <f aca="false">L28</f>
        <v>0.4</v>
      </c>
      <c r="U28" s="17" t="n">
        <f aca="false">M28</f>
        <v>0</v>
      </c>
      <c r="V28" s="78" t="n">
        <f aca="false">CHOOSE(WeightIdx,F28,J28,N28,R28)</f>
        <v>0.6</v>
      </c>
      <c r="W28" s="78" t="n">
        <f aca="false">CHOOSE(WeightIdx,G28,K28,O28,S28)</f>
        <v>0</v>
      </c>
      <c r="X28" s="78" t="n">
        <f aca="false">CHOOSE(WeightIdx,H28,L28,P28,T28)</f>
        <v>0.4</v>
      </c>
      <c r="Y28" s="78" t="n">
        <f aca="false">CHOOSE(WeightIdx,I28,M28,Q28,U28)</f>
        <v>0</v>
      </c>
      <c r="Z28" s="17" t="n">
        <f aca="false">SUM(V28:Y28)</f>
        <v>1</v>
      </c>
      <c r="AA28" s="16" t="n">
        <f aca="false">25-SUMPRODUCT(MAX((Engine!$D105:$AA105&lt;&gt;"")*(25-Engine!$D$7:$AA$7)))</f>
        <v>5</v>
      </c>
      <c r="AB28" s="16" t="n">
        <f aca="false">SUMPRODUCT(MAX((Engine!$D105:$AA105&lt;&gt;"")*Engine!$D$7:$AA$7))</f>
        <v>24</v>
      </c>
    </row>
    <row r="29" customFormat="false" ht="15" hidden="false" customHeight="false" outlineLevel="0" collapsed="false">
      <c r="A29" s="16" t="n">
        <v>24</v>
      </c>
      <c r="B29" s="75" t="s">
        <v>261</v>
      </c>
      <c r="C29" s="75" t="s">
        <v>212</v>
      </c>
      <c r="D29" s="76" t="s">
        <v>239</v>
      </c>
      <c r="E29" s="76" t="s">
        <v>240</v>
      </c>
      <c r="F29" s="77" t="n">
        <v>0.6</v>
      </c>
      <c r="G29" s="77" t="n">
        <v>0</v>
      </c>
      <c r="H29" s="77" t="n">
        <v>0.4</v>
      </c>
      <c r="I29" s="77" t="n">
        <v>0</v>
      </c>
      <c r="J29" s="77" t="n">
        <v>0.6</v>
      </c>
      <c r="K29" s="77" t="n">
        <v>0</v>
      </c>
      <c r="L29" s="77" t="n">
        <v>0.4</v>
      </c>
      <c r="M29" s="77" t="n">
        <v>0</v>
      </c>
      <c r="N29" s="77" t="n">
        <v>0.6</v>
      </c>
      <c r="O29" s="77" t="n">
        <v>0</v>
      </c>
      <c r="P29" s="77" t="n">
        <v>0.4</v>
      </c>
      <c r="Q29" s="77" t="n">
        <v>0</v>
      </c>
      <c r="R29" s="17" t="n">
        <f aca="false">J29</f>
        <v>0.6</v>
      </c>
      <c r="S29" s="17" t="n">
        <f aca="false">K29</f>
        <v>0</v>
      </c>
      <c r="T29" s="17" t="n">
        <f aca="false">L29</f>
        <v>0.4</v>
      </c>
      <c r="U29" s="17" t="n">
        <f aca="false">M29</f>
        <v>0</v>
      </c>
      <c r="V29" s="78" t="n">
        <f aca="false">CHOOSE(WeightIdx,F29,J29,N29,R29)</f>
        <v>0.6</v>
      </c>
      <c r="W29" s="78" t="n">
        <f aca="false">CHOOSE(WeightIdx,G29,K29,O29,S29)</f>
        <v>0</v>
      </c>
      <c r="X29" s="78" t="n">
        <f aca="false">CHOOSE(WeightIdx,H29,L29,P29,T29)</f>
        <v>0.4</v>
      </c>
      <c r="Y29" s="78" t="n">
        <f aca="false">CHOOSE(WeightIdx,I29,M29,Q29,U29)</f>
        <v>0</v>
      </c>
      <c r="Z29" s="17" t="n">
        <f aca="false">SUM(V29:Y29)</f>
        <v>1</v>
      </c>
      <c r="AA29" s="16" t="n">
        <f aca="false">25-SUMPRODUCT(MAX((Engine!$D106:$AA106&lt;&gt;"")*(25-Engine!$D$7:$AA$7)))</f>
        <v>5</v>
      </c>
      <c r="AB29" s="16" t="n">
        <f aca="false">SUMPRODUCT(MAX((Engine!$D106:$AA106&lt;&gt;"")*Engine!$D$7:$AA$7))</f>
        <v>24</v>
      </c>
    </row>
    <row r="30" customFormat="false" ht="15" hidden="false" customHeight="false" outlineLevel="0" collapsed="false">
      <c r="A30" s="16" t="n">
        <v>25</v>
      </c>
      <c r="B30" s="75" t="s">
        <v>262</v>
      </c>
      <c r="C30" s="75" t="s">
        <v>212</v>
      </c>
      <c r="D30" s="76" t="s">
        <v>239</v>
      </c>
      <c r="E30" s="76" t="s">
        <v>240</v>
      </c>
      <c r="F30" s="77" t="n">
        <v>0.2</v>
      </c>
      <c r="G30" s="77" t="n">
        <v>0</v>
      </c>
      <c r="H30" s="77" t="n">
        <v>0.8</v>
      </c>
      <c r="I30" s="77" t="n">
        <v>0</v>
      </c>
      <c r="J30" s="77" t="n">
        <v>0.22</v>
      </c>
      <c r="K30" s="77" t="n">
        <v>0</v>
      </c>
      <c r="L30" s="77" t="n">
        <v>0.78</v>
      </c>
      <c r="M30" s="77" t="n">
        <v>0</v>
      </c>
      <c r="N30" s="77" t="n">
        <v>0.24</v>
      </c>
      <c r="O30" s="77" t="n">
        <v>0</v>
      </c>
      <c r="P30" s="77" t="n">
        <v>0.76</v>
      </c>
      <c r="Q30" s="77" t="n">
        <v>0</v>
      </c>
      <c r="R30" s="17" t="n">
        <f aca="false">J30</f>
        <v>0.22</v>
      </c>
      <c r="S30" s="17" t="n">
        <f aca="false">K30</f>
        <v>0</v>
      </c>
      <c r="T30" s="17" t="n">
        <f aca="false">L30</f>
        <v>0.78</v>
      </c>
      <c r="U30" s="17" t="n">
        <f aca="false">M30</f>
        <v>0</v>
      </c>
      <c r="V30" s="78" t="n">
        <f aca="false">CHOOSE(WeightIdx,F30,J30,N30,R30)</f>
        <v>0.22</v>
      </c>
      <c r="W30" s="78" t="n">
        <f aca="false">CHOOSE(WeightIdx,G30,K30,O30,S30)</f>
        <v>0</v>
      </c>
      <c r="X30" s="78" t="n">
        <f aca="false">CHOOSE(WeightIdx,H30,L30,P30,T30)</f>
        <v>0.78</v>
      </c>
      <c r="Y30" s="78" t="n">
        <f aca="false">CHOOSE(WeightIdx,I30,M30,Q30,U30)</f>
        <v>0</v>
      </c>
      <c r="Z30" s="17" t="n">
        <f aca="false">SUM(V30:Y30)</f>
        <v>1</v>
      </c>
      <c r="AA30" s="16" t="n">
        <f aca="false">25-SUMPRODUCT(MAX((Engine!$D107:$AA107&lt;&gt;"")*(25-Engine!$D$7:$AA$7)))</f>
        <v>5</v>
      </c>
      <c r="AB30" s="16" t="n">
        <f aca="false">SUMPRODUCT(MAX((Engine!$D107:$AA107&lt;&gt;"")*Engine!$D$7:$AA$7))</f>
        <v>24</v>
      </c>
    </row>
    <row r="31" customFormat="false" ht="15" hidden="false" customHeight="false" outlineLevel="0" collapsed="false">
      <c r="A31" s="16" t="n">
        <v>26</v>
      </c>
      <c r="B31" s="75" t="s">
        <v>263</v>
      </c>
      <c r="C31" s="75" t="s">
        <v>212</v>
      </c>
      <c r="D31" s="76" t="s">
        <v>239</v>
      </c>
      <c r="E31" s="76" t="s">
        <v>240</v>
      </c>
      <c r="F31" s="77" t="n">
        <v>0.2</v>
      </c>
      <c r="G31" s="77" t="n">
        <v>0</v>
      </c>
      <c r="H31" s="77" t="n">
        <v>0.8</v>
      </c>
      <c r="I31" s="77" t="n">
        <v>0</v>
      </c>
      <c r="J31" s="77" t="n">
        <v>0.22</v>
      </c>
      <c r="K31" s="77" t="n">
        <v>0</v>
      </c>
      <c r="L31" s="77" t="n">
        <v>0.78</v>
      </c>
      <c r="M31" s="77" t="n">
        <v>0</v>
      </c>
      <c r="N31" s="77" t="n">
        <v>0.24</v>
      </c>
      <c r="O31" s="77" t="n">
        <v>0</v>
      </c>
      <c r="P31" s="77" t="n">
        <v>0.76</v>
      </c>
      <c r="Q31" s="77" t="n">
        <v>0</v>
      </c>
      <c r="R31" s="17" t="n">
        <f aca="false">J31</f>
        <v>0.22</v>
      </c>
      <c r="S31" s="17" t="n">
        <f aca="false">K31</f>
        <v>0</v>
      </c>
      <c r="T31" s="17" t="n">
        <f aca="false">L31</f>
        <v>0.78</v>
      </c>
      <c r="U31" s="17" t="n">
        <f aca="false">M31</f>
        <v>0</v>
      </c>
      <c r="V31" s="78" t="n">
        <f aca="false">CHOOSE(WeightIdx,F31,J31,N31,R31)</f>
        <v>0.22</v>
      </c>
      <c r="W31" s="78" t="n">
        <f aca="false">CHOOSE(WeightIdx,G31,K31,O31,S31)</f>
        <v>0</v>
      </c>
      <c r="X31" s="78" t="n">
        <f aca="false">CHOOSE(WeightIdx,H31,L31,P31,T31)</f>
        <v>0.78</v>
      </c>
      <c r="Y31" s="78" t="n">
        <f aca="false">CHOOSE(WeightIdx,I31,M31,Q31,U31)</f>
        <v>0</v>
      </c>
      <c r="Z31" s="17" t="n">
        <f aca="false">SUM(V31:Y31)</f>
        <v>1</v>
      </c>
      <c r="AA31" s="16" t="n">
        <f aca="false">25-SUMPRODUCT(MAX((Engine!$D108:$AA108&lt;&gt;"")*(25-Engine!$D$7:$AA$7)))</f>
        <v>5</v>
      </c>
      <c r="AB31" s="16" t="n">
        <f aca="false">SUMPRODUCT(MAX((Engine!$D108:$AA108&lt;&gt;"")*Engine!$D$7:$AA$7))</f>
        <v>24</v>
      </c>
    </row>
    <row r="32" customFormat="false" ht="15" hidden="false" customHeight="false" outlineLevel="0" collapsed="false">
      <c r="A32" s="16" t="n">
        <v>27</v>
      </c>
      <c r="B32" s="75" t="s">
        <v>159</v>
      </c>
      <c r="C32" s="75" t="s">
        <v>212</v>
      </c>
      <c r="D32" s="76" t="s">
        <v>239</v>
      </c>
      <c r="E32" s="76" t="s">
        <v>240</v>
      </c>
      <c r="F32" s="77" t="n">
        <v>0.2</v>
      </c>
      <c r="G32" s="77" t="n">
        <v>0</v>
      </c>
      <c r="H32" s="77" t="n">
        <v>0.8</v>
      </c>
      <c r="I32" s="77" t="n">
        <v>0</v>
      </c>
      <c r="J32" s="77" t="n">
        <v>0.22</v>
      </c>
      <c r="K32" s="77" t="n">
        <v>0</v>
      </c>
      <c r="L32" s="77" t="n">
        <v>0.78</v>
      </c>
      <c r="M32" s="77" t="n">
        <v>0</v>
      </c>
      <c r="N32" s="77" t="n">
        <v>0.24</v>
      </c>
      <c r="O32" s="77" t="n">
        <v>0</v>
      </c>
      <c r="P32" s="77" t="n">
        <v>0.76</v>
      </c>
      <c r="Q32" s="77" t="n">
        <v>0</v>
      </c>
      <c r="R32" s="17" t="n">
        <f aca="false">J32</f>
        <v>0.22</v>
      </c>
      <c r="S32" s="17" t="n">
        <f aca="false">K32</f>
        <v>0</v>
      </c>
      <c r="T32" s="17" t="n">
        <f aca="false">L32</f>
        <v>0.78</v>
      </c>
      <c r="U32" s="17" t="n">
        <f aca="false">M32</f>
        <v>0</v>
      </c>
      <c r="V32" s="78" t="n">
        <f aca="false">CHOOSE(WeightIdx,F32,J32,N32,R32)</f>
        <v>0.22</v>
      </c>
      <c r="W32" s="78" t="n">
        <f aca="false">CHOOSE(WeightIdx,G32,K32,O32,S32)</f>
        <v>0</v>
      </c>
      <c r="X32" s="78" t="n">
        <f aca="false">CHOOSE(WeightIdx,H32,L32,P32,T32)</f>
        <v>0.78</v>
      </c>
      <c r="Y32" s="78" t="n">
        <f aca="false">CHOOSE(WeightIdx,I32,M32,Q32,U32)</f>
        <v>0</v>
      </c>
      <c r="Z32" s="17" t="n">
        <f aca="false">SUM(V32:Y32)</f>
        <v>1</v>
      </c>
      <c r="AA32" s="16" t="n">
        <f aca="false">25-SUMPRODUCT(MAX((Engine!$D109:$AA109&lt;&gt;"")*(25-Engine!$D$7:$AA$7)))</f>
        <v>5</v>
      </c>
      <c r="AB32" s="16" t="n">
        <f aca="false">SUMPRODUCT(MAX((Engine!$D109:$AA109&lt;&gt;"")*Engine!$D$7:$AA$7))</f>
        <v>24</v>
      </c>
    </row>
    <row r="33" customFormat="false" ht="15" hidden="false" customHeight="false" outlineLevel="0" collapsed="false">
      <c r="A33" s="16" t="n">
        <v>28</v>
      </c>
      <c r="B33" s="75" t="s">
        <v>264</v>
      </c>
      <c r="C33" s="75" t="s">
        <v>212</v>
      </c>
      <c r="D33" s="76" t="s">
        <v>239</v>
      </c>
      <c r="E33" s="76" t="s">
        <v>240</v>
      </c>
      <c r="F33" s="77" t="n">
        <v>0.25</v>
      </c>
      <c r="G33" s="77" t="n">
        <v>0</v>
      </c>
      <c r="H33" s="77" t="n">
        <v>0.75</v>
      </c>
      <c r="I33" s="77" t="n">
        <v>0</v>
      </c>
      <c r="J33" s="77" t="n">
        <v>0.25</v>
      </c>
      <c r="K33" s="77" t="n">
        <v>0</v>
      </c>
      <c r="L33" s="77" t="n">
        <v>0.75</v>
      </c>
      <c r="M33" s="77" t="n">
        <v>0</v>
      </c>
      <c r="N33" s="77" t="n">
        <v>0.25</v>
      </c>
      <c r="O33" s="77" t="n">
        <v>0</v>
      </c>
      <c r="P33" s="77" t="n">
        <v>0.75</v>
      </c>
      <c r="Q33" s="77" t="n">
        <v>0</v>
      </c>
      <c r="R33" s="17" t="n">
        <f aca="false">J33</f>
        <v>0.25</v>
      </c>
      <c r="S33" s="17" t="n">
        <f aca="false">K33</f>
        <v>0</v>
      </c>
      <c r="T33" s="17" t="n">
        <f aca="false">L33</f>
        <v>0.75</v>
      </c>
      <c r="U33" s="17" t="n">
        <f aca="false">M33</f>
        <v>0</v>
      </c>
      <c r="V33" s="78" t="n">
        <f aca="false">CHOOSE(WeightIdx,F33,J33,N33,R33)</f>
        <v>0.25</v>
      </c>
      <c r="W33" s="78" t="n">
        <f aca="false">CHOOSE(WeightIdx,G33,K33,O33,S33)</f>
        <v>0</v>
      </c>
      <c r="X33" s="78" t="n">
        <f aca="false">CHOOSE(WeightIdx,H33,L33,P33,T33)</f>
        <v>0.75</v>
      </c>
      <c r="Y33" s="78" t="n">
        <f aca="false">CHOOSE(WeightIdx,I33,M33,Q33,U33)</f>
        <v>0</v>
      </c>
      <c r="Z33" s="17" t="n">
        <f aca="false">SUM(V33:Y33)</f>
        <v>1</v>
      </c>
      <c r="AA33" s="16" t="n">
        <f aca="false">25-SUMPRODUCT(MAX((Engine!$D110:$AA110&lt;&gt;"")*(25-Engine!$D$7:$AA$7)))</f>
        <v>5</v>
      </c>
      <c r="AB33" s="16" t="n">
        <f aca="false">SUMPRODUCT(MAX((Engine!$D110:$AA110&lt;&gt;"")*Engine!$D$7:$AA$7))</f>
        <v>24</v>
      </c>
    </row>
    <row r="34" customFormat="false" ht="15" hidden="false" customHeight="false" outlineLevel="0" collapsed="false">
      <c r="A34" s="16" t="n">
        <v>29</v>
      </c>
      <c r="B34" s="75" t="s">
        <v>265</v>
      </c>
      <c r="C34" s="75" t="s">
        <v>212</v>
      </c>
      <c r="D34" s="76" t="s">
        <v>239</v>
      </c>
      <c r="E34" s="76" t="s">
        <v>240</v>
      </c>
      <c r="F34" s="77" t="n">
        <v>0.25</v>
      </c>
      <c r="G34" s="77" t="n">
        <v>0</v>
      </c>
      <c r="H34" s="77" t="n">
        <v>0.75</v>
      </c>
      <c r="I34" s="77" t="n">
        <v>0</v>
      </c>
      <c r="J34" s="77" t="n">
        <v>0.25</v>
      </c>
      <c r="K34" s="77" t="n">
        <v>0</v>
      </c>
      <c r="L34" s="77" t="n">
        <v>0.75</v>
      </c>
      <c r="M34" s="77" t="n">
        <v>0</v>
      </c>
      <c r="N34" s="77" t="n">
        <v>0.25</v>
      </c>
      <c r="O34" s="77" t="n">
        <v>0</v>
      </c>
      <c r="P34" s="77" t="n">
        <v>0.75</v>
      </c>
      <c r="Q34" s="77" t="n">
        <v>0</v>
      </c>
      <c r="R34" s="17" t="n">
        <f aca="false">J34</f>
        <v>0.25</v>
      </c>
      <c r="S34" s="17" t="n">
        <f aca="false">K34</f>
        <v>0</v>
      </c>
      <c r="T34" s="17" t="n">
        <f aca="false">L34</f>
        <v>0.75</v>
      </c>
      <c r="U34" s="17" t="n">
        <f aca="false">M34</f>
        <v>0</v>
      </c>
      <c r="V34" s="78" t="n">
        <f aca="false">CHOOSE(WeightIdx,F34,J34,N34,R34)</f>
        <v>0.25</v>
      </c>
      <c r="W34" s="78" t="n">
        <f aca="false">CHOOSE(WeightIdx,G34,K34,O34,S34)</f>
        <v>0</v>
      </c>
      <c r="X34" s="78" t="n">
        <f aca="false">CHOOSE(WeightIdx,H34,L34,P34,T34)</f>
        <v>0.75</v>
      </c>
      <c r="Y34" s="78" t="n">
        <f aca="false">CHOOSE(WeightIdx,I34,M34,Q34,U34)</f>
        <v>0</v>
      </c>
      <c r="Z34" s="17" t="n">
        <f aca="false">SUM(V34:Y34)</f>
        <v>1</v>
      </c>
      <c r="AA34" s="16" t="n">
        <f aca="false">25-SUMPRODUCT(MAX((Engine!$D111:$AA111&lt;&gt;"")*(25-Engine!$D$7:$AA$7)))</f>
        <v>5</v>
      </c>
      <c r="AB34" s="16" t="n">
        <f aca="false">SUMPRODUCT(MAX((Engine!$D111:$AA111&lt;&gt;"")*Engine!$D$7:$AA$7))</f>
        <v>24</v>
      </c>
    </row>
    <row r="35" customFormat="false" ht="15" hidden="false" customHeight="false" outlineLevel="0" collapsed="false">
      <c r="A35" s="16" t="n">
        <v>30</v>
      </c>
      <c r="B35" s="75" t="s">
        <v>266</v>
      </c>
      <c r="C35" s="75" t="s">
        <v>212</v>
      </c>
      <c r="D35" s="76" t="s">
        <v>239</v>
      </c>
      <c r="E35" s="76" t="s">
        <v>240</v>
      </c>
      <c r="F35" s="77" t="n">
        <v>0.25</v>
      </c>
      <c r="G35" s="77" t="n">
        <v>0</v>
      </c>
      <c r="H35" s="77" t="n">
        <v>0.75</v>
      </c>
      <c r="I35" s="77" t="n">
        <v>0</v>
      </c>
      <c r="J35" s="77" t="n">
        <v>0.25</v>
      </c>
      <c r="K35" s="77" t="n">
        <v>0</v>
      </c>
      <c r="L35" s="77" t="n">
        <v>0.75</v>
      </c>
      <c r="M35" s="77" t="n">
        <v>0</v>
      </c>
      <c r="N35" s="77" t="n">
        <v>0.25</v>
      </c>
      <c r="O35" s="77" t="n">
        <v>0</v>
      </c>
      <c r="P35" s="77" t="n">
        <v>0.75</v>
      </c>
      <c r="Q35" s="77" t="n">
        <v>0</v>
      </c>
      <c r="R35" s="17" t="n">
        <f aca="false">J35</f>
        <v>0.25</v>
      </c>
      <c r="S35" s="17" t="n">
        <f aca="false">K35</f>
        <v>0</v>
      </c>
      <c r="T35" s="17" t="n">
        <f aca="false">L35</f>
        <v>0.75</v>
      </c>
      <c r="U35" s="17" t="n">
        <f aca="false">M35</f>
        <v>0</v>
      </c>
      <c r="V35" s="78" t="n">
        <f aca="false">CHOOSE(WeightIdx,F35,J35,N35,R35)</f>
        <v>0.25</v>
      </c>
      <c r="W35" s="78" t="n">
        <f aca="false">CHOOSE(WeightIdx,G35,K35,O35,S35)</f>
        <v>0</v>
      </c>
      <c r="X35" s="78" t="n">
        <f aca="false">CHOOSE(WeightIdx,H35,L35,P35,T35)</f>
        <v>0.75</v>
      </c>
      <c r="Y35" s="78" t="n">
        <f aca="false">CHOOSE(WeightIdx,I35,M35,Q35,U35)</f>
        <v>0</v>
      </c>
      <c r="Z35" s="17" t="n">
        <f aca="false">SUM(V35:Y35)</f>
        <v>1</v>
      </c>
      <c r="AA35" s="16" t="n">
        <f aca="false">25-SUMPRODUCT(MAX((Engine!$D112:$AA112&lt;&gt;"")*(25-Engine!$D$7:$AA$7)))</f>
        <v>5</v>
      </c>
      <c r="AB35" s="16" t="n">
        <f aca="false">SUMPRODUCT(MAX((Engine!$D112:$AA112&lt;&gt;"")*Engine!$D$7:$AA$7))</f>
        <v>24</v>
      </c>
    </row>
    <row r="36" customFormat="false" ht="15" hidden="false" customHeight="false" outlineLevel="0" collapsed="false">
      <c r="A36" s="16" t="n">
        <v>31</v>
      </c>
      <c r="B36" s="75" t="s">
        <v>267</v>
      </c>
      <c r="C36" s="75" t="s">
        <v>212</v>
      </c>
      <c r="D36" s="76" t="s">
        <v>239</v>
      </c>
      <c r="E36" s="76" t="s">
        <v>268</v>
      </c>
      <c r="F36" s="77" t="n">
        <v>0.25</v>
      </c>
      <c r="G36" s="77" t="n">
        <v>0</v>
      </c>
      <c r="H36" s="77" t="n">
        <v>0.75</v>
      </c>
      <c r="I36" s="77" t="n">
        <v>0</v>
      </c>
      <c r="J36" s="77" t="n">
        <v>0.25</v>
      </c>
      <c r="K36" s="77" t="n">
        <v>0</v>
      </c>
      <c r="L36" s="77" t="n">
        <v>0.75</v>
      </c>
      <c r="M36" s="77" t="n">
        <v>0</v>
      </c>
      <c r="N36" s="77" t="n">
        <v>0.25</v>
      </c>
      <c r="O36" s="77" t="n">
        <v>0</v>
      </c>
      <c r="P36" s="77" t="n">
        <v>0.75</v>
      </c>
      <c r="Q36" s="77" t="n">
        <v>0</v>
      </c>
      <c r="R36" s="17" t="n">
        <f aca="false">J36</f>
        <v>0.25</v>
      </c>
      <c r="S36" s="17" t="n">
        <f aca="false">K36</f>
        <v>0</v>
      </c>
      <c r="T36" s="17" t="n">
        <f aca="false">L36</f>
        <v>0.75</v>
      </c>
      <c r="U36" s="17" t="n">
        <f aca="false">M36</f>
        <v>0</v>
      </c>
      <c r="V36" s="78" t="n">
        <f aca="false">CHOOSE(WeightIdx,F36,J36,N36,R36)</f>
        <v>0.25</v>
      </c>
      <c r="W36" s="78" t="n">
        <f aca="false">CHOOSE(WeightIdx,G36,K36,O36,S36)</f>
        <v>0</v>
      </c>
      <c r="X36" s="78" t="n">
        <f aca="false">CHOOSE(WeightIdx,H36,L36,P36,T36)</f>
        <v>0.75</v>
      </c>
      <c r="Y36" s="78" t="n">
        <f aca="false">CHOOSE(WeightIdx,I36,M36,Q36,U36)</f>
        <v>0</v>
      </c>
      <c r="Z36" s="17" t="n">
        <f aca="false">SUM(V36:Y36)</f>
        <v>1</v>
      </c>
      <c r="AA36" s="16" t="n">
        <f aca="false">25-SUMPRODUCT(MAX((Engine!$D113:$AA113&lt;&gt;"")*(25-Engine!$D$7:$AA$7)))</f>
        <v>5</v>
      </c>
      <c r="AB36" s="16" t="n">
        <f aca="false">SUMPRODUCT(MAX((Engine!$D113:$AA113&lt;&gt;"")*Engine!$D$7:$AA$7))</f>
        <v>24</v>
      </c>
    </row>
    <row r="37" customFormat="false" ht="15" hidden="false" customHeight="false" outlineLevel="0" collapsed="false">
      <c r="A37" s="16" t="n">
        <v>32</v>
      </c>
      <c r="B37" s="75" t="s">
        <v>269</v>
      </c>
      <c r="C37" s="75" t="s">
        <v>212</v>
      </c>
      <c r="D37" s="76" t="s">
        <v>239</v>
      </c>
      <c r="E37" s="76" t="s">
        <v>268</v>
      </c>
      <c r="F37" s="77" t="n">
        <v>0.25</v>
      </c>
      <c r="G37" s="77" t="n">
        <v>0</v>
      </c>
      <c r="H37" s="77" t="n">
        <v>0.75</v>
      </c>
      <c r="I37" s="77" t="n">
        <v>0</v>
      </c>
      <c r="J37" s="77" t="n">
        <v>0.25</v>
      </c>
      <c r="K37" s="77" t="n">
        <v>0</v>
      </c>
      <c r="L37" s="77" t="n">
        <v>0.75</v>
      </c>
      <c r="M37" s="77" t="n">
        <v>0</v>
      </c>
      <c r="N37" s="77" t="n">
        <v>0.25</v>
      </c>
      <c r="O37" s="77" t="n">
        <v>0</v>
      </c>
      <c r="P37" s="77" t="n">
        <v>0.75</v>
      </c>
      <c r="Q37" s="77" t="n">
        <v>0</v>
      </c>
      <c r="R37" s="17" t="n">
        <f aca="false">J37</f>
        <v>0.25</v>
      </c>
      <c r="S37" s="17" t="n">
        <f aca="false">K37</f>
        <v>0</v>
      </c>
      <c r="T37" s="17" t="n">
        <f aca="false">L37</f>
        <v>0.75</v>
      </c>
      <c r="U37" s="17" t="n">
        <f aca="false">M37</f>
        <v>0</v>
      </c>
      <c r="V37" s="78" t="n">
        <f aca="false">CHOOSE(WeightIdx,F37,J37,N37,R37)</f>
        <v>0.25</v>
      </c>
      <c r="W37" s="78" t="n">
        <f aca="false">CHOOSE(WeightIdx,G37,K37,O37,S37)</f>
        <v>0</v>
      </c>
      <c r="X37" s="78" t="n">
        <f aca="false">CHOOSE(WeightIdx,H37,L37,P37,T37)</f>
        <v>0.75</v>
      </c>
      <c r="Y37" s="78" t="n">
        <f aca="false">CHOOSE(WeightIdx,I37,M37,Q37,U37)</f>
        <v>0</v>
      </c>
      <c r="Z37" s="17" t="n">
        <f aca="false">SUM(V37:Y37)</f>
        <v>1</v>
      </c>
      <c r="AA37" s="16" t="n">
        <f aca="false">25-SUMPRODUCT(MAX((Engine!$D114:$AA114&lt;&gt;"")*(25-Engine!$D$7:$AA$7)))</f>
        <v>5</v>
      </c>
      <c r="AB37" s="16" t="n">
        <f aca="false">SUMPRODUCT(MAX((Engine!$D114:$AA114&lt;&gt;"")*Engine!$D$7:$AA$7))</f>
        <v>24</v>
      </c>
    </row>
    <row r="38" customFormat="false" ht="15" hidden="false" customHeight="false" outlineLevel="0" collapsed="false">
      <c r="A38" s="16" t="n">
        <v>33</v>
      </c>
      <c r="B38" s="75" t="s">
        <v>270</v>
      </c>
      <c r="C38" s="75" t="s">
        <v>212</v>
      </c>
      <c r="D38" s="76" t="s">
        <v>239</v>
      </c>
      <c r="E38" s="76" t="s">
        <v>268</v>
      </c>
      <c r="F38" s="77" t="n">
        <v>0.25</v>
      </c>
      <c r="G38" s="77" t="n">
        <v>0</v>
      </c>
      <c r="H38" s="77" t="n">
        <v>0.75</v>
      </c>
      <c r="I38" s="77" t="n">
        <v>0</v>
      </c>
      <c r="J38" s="77" t="n">
        <v>0.25</v>
      </c>
      <c r="K38" s="77" t="n">
        <v>0</v>
      </c>
      <c r="L38" s="77" t="n">
        <v>0.75</v>
      </c>
      <c r="M38" s="77" t="n">
        <v>0</v>
      </c>
      <c r="N38" s="77" t="n">
        <v>0.25</v>
      </c>
      <c r="O38" s="77" t="n">
        <v>0</v>
      </c>
      <c r="P38" s="77" t="n">
        <v>0.75</v>
      </c>
      <c r="Q38" s="77" t="n">
        <v>0</v>
      </c>
      <c r="R38" s="17" t="n">
        <f aca="false">J38</f>
        <v>0.25</v>
      </c>
      <c r="S38" s="17" t="n">
        <f aca="false">K38</f>
        <v>0</v>
      </c>
      <c r="T38" s="17" t="n">
        <f aca="false">L38</f>
        <v>0.75</v>
      </c>
      <c r="U38" s="17" t="n">
        <f aca="false">M38</f>
        <v>0</v>
      </c>
      <c r="V38" s="78" t="n">
        <f aca="false">CHOOSE(WeightIdx,F38,J38,N38,R38)</f>
        <v>0.25</v>
      </c>
      <c r="W38" s="78" t="n">
        <f aca="false">CHOOSE(WeightIdx,G38,K38,O38,S38)</f>
        <v>0</v>
      </c>
      <c r="X38" s="78" t="n">
        <f aca="false">CHOOSE(WeightIdx,H38,L38,P38,T38)</f>
        <v>0.75</v>
      </c>
      <c r="Y38" s="78" t="n">
        <f aca="false">CHOOSE(WeightIdx,I38,M38,Q38,U38)</f>
        <v>0</v>
      </c>
      <c r="Z38" s="17" t="n">
        <f aca="false">SUM(V38:Y38)</f>
        <v>1</v>
      </c>
      <c r="AA38" s="16" t="n">
        <f aca="false">25-SUMPRODUCT(MAX((Engine!$D115:$AA115&lt;&gt;"")*(25-Engine!$D$7:$AA$7)))</f>
        <v>5</v>
      </c>
      <c r="AB38" s="16" t="n">
        <f aca="false">SUMPRODUCT(MAX((Engine!$D115:$AA115&lt;&gt;"")*Engine!$D$7:$AA$7))</f>
        <v>24</v>
      </c>
    </row>
    <row r="39" customFormat="false" ht="15" hidden="false" customHeight="false" outlineLevel="0" collapsed="false">
      <c r="A39" s="16" t="n">
        <v>34</v>
      </c>
      <c r="B39" s="75" t="s">
        <v>271</v>
      </c>
      <c r="C39" s="75" t="s">
        <v>213</v>
      </c>
      <c r="D39" s="76" t="s">
        <v>239</v>
      </c>
      <c r="E39" s="76" t="s">
        <v>268</v>
      </c>
      <c r="F39" s="77" t="n">
        <v>0.4</v>
      </c>
      <c r="G39" s="77" t="n">
        <v>0</v>
      </c>
      <c r="H39" s="77" t="n">
        <v>0.6</v>
      </c>
      <c r="I39" s="77" t="n">
        <v>0</v>
      </c>
      <c r="J39" s="77" t="n">
        <v>0.55</v>
      </c>
      <c r="K39" s="77" t="n">
        <v>0</v>
      </c>
      <c r="L39" s="77" t="n">
        <v>0.45</v>
      </c>
      <c r="M39" s="77" t="n">
        <v>0</v>
      </c>
      <c r="N39" s="77" t="n">
        <v>0.6</v>
      </c>
      <c r="O39" s="77" t="n">
        <v>0</v>
      </c>
      <c r="P39" s="77" t="n">
        <v>0.4</v>
      </c>
      <c r="Q39" s="77" t="n">
        <v>0</v>
      </c>
      <c r="R39" s="17" t="n">
        <f aca="false">J39</f>
        <v>0.55</v>
      </c>
      <c r="S39" s="17" t="n">
        <f aca="false">K39</f>
        <v>0</v>
      </c>
      <c r="T39" s="17" t="n">
        <f aca="false">L39</f>
        <v>0.45</v>
      </c>
      <c r="U39" s="17" t="n">
        <f aca="false">M39</f>
        <v>0</v>
      </c>
      <c r="V39" s="78" t="n">
        <f aca="false">CHOOSE(WeightIdx,F39,J39,N39,R39)</f>
        <v>0.55</v>
      </c>
      <c r="W39" s="78" t="n">
        <f aca="false">CHOOSE(WeightIdx,G39,K39,O39,S39)</f>
        <v>0</v>
      </c>
      <c r="X39" s="78" t="n">
        <f aca="false">CHOOSE(WeightIdx,H39,L39,P39,T39)</f>
        <v>0.45</v>
      </c>
      <c r="Y39" s="78" t="n">
        <f aca="false">CHOOSE(WeightIdx,I39,M39,Q39,U39)</f>
        <v>0</v>
      </c>
      <c r="Z39" s="17" t="n">
        <f aca="false">SUM(V39:Y39)</f>
        <v>1</v>
      </c>
      <c r="AA39" s="16" t="n">
        <f aca="false">25-SUMPRODUCT(MAX((Engine!$D116:$AA116&lt;&gt;"")*(25-Engine!$D$7:$AA$7)))</f>
        <v>5</v>
      </c>
      <c r="AB39" s="16" t="n">
        <f aca="false">SUMPRODUCT(MAX((Engine!$D116:$AA116&lt;&gt;"")*Engine!$D$7:$AA$7))</f>
        <v>24</v>
      </c>
    </row>
    <row r="40" customFormat="false" ht="15" hidden="false" customHeight="false" outlineLevel="0" collapsed="false">
      <c r="A40" s="16" t="n">
        <v>35</v>
      </c>
      <c r="B40" s="75" t="s">
        <v>272</v>
      </c>
      <c r="C40" s="75" t="s">
        <v>213</v>
      </c>
      <c r="D40" s="76" t="s">
        <v>239</v>
      </c>
      <c r="E40" s="76" t="s">
        <v>268</v>
      </c>
      <c r="F40" s="77" t="n">
        <v>0.5</v>
      </c>
      <c r="G40" s="77" t="n">
        <v>0</v>
      </c>
      <c r="H40" s="77" t="n">
        <v>0.5</v>
      </c>
      <c r="I40" s="77" t="n">
        <v>0</v>
      </c>
      <c r="J40" s="77" t="n">
        <v>0.5</v>
      </c>
      <c r="K40" s="77" t="n">
        <v>0</v>
      </c>
      <c r="L40" s="77" t="n">
        <v>0.5</v>
      </c>
      <c r="M40" s="77" t="n">
        <v>0</v>
      </c>
      <c r="N40" s="77" t="n">
        <v>0.5</v>
      </c>
      <c r="O40" s="77" t="n">
        <v>0</v>
      </c>
      <c r="P40" s="77" t="n">
        <v>0.5</v>
      </c>
      <c r="Q40" s="77" t="n">
        <v>0</v>
      </c>
      <c r="R40" s="17" t="n">
        <f aca="false">J40</f>
        <v>0.5</v>
      </c>
      <c r="S40" s="17" t="n">
        <f aca="false">K40</f>
        <v>0</v>
      </c>
      <c r="T40" s="17" t="n">
        <f aca="false">L40</f>
        <v>0.5</v>
      </c>
      <c r="U40" s="17" t="n">
        <f aca="false">M40</f>
        <v>0</v>
      </c>
      <c r="V40" s="78" t="n">
        <f aca="false">CHOOSE(WeightIdx,F40,J40,N40,R40)</f>
        <v>0.5</v>
      </c>
      <c r="W40" s="78" t="n">
        <f aca="false">CHOOSE(WeightIdx,G40,K40,O40,S40)</f>
        <v>0</v>
      </c>
      <c r="X40" s="78" t="n">
        <f aca="false">CHOOSE(WeightIdx,H40,L40,P40,T40)</f>
        <v>0.5</v>
      </c>
      <c r="Y40" s="78" t="n">
        <f aca="false">CHOOSE(WeightIdx,I40,M40,Q40,U40)</f>
        <v>0</v>
      </c>
      <c r="Z40" s="17" t="n">
        <f aca="false">SUM(V40:Y40)</f>
        <v>1</v>
      </c>
      <c r="AA40" s="16" t="n">
        <f aca="false">25-SUMPRODUCT(MAX((Engine!$D117:$AA117&lt;&gt;"")*(25-Engine!$D$7:$AA$7)))</f>
        <v>5</v>
      </c>
      <c r="AB40" s="16" t="n">
        <f aca="false">SUMPRODUCT(MAX((Engine!$D117:$AA117&lt;&gt;"")*Engine!$D$7:$AA$7))</f>
        <v>24</v>
      </c>
    </row>
    <row r="41" customFormat="false" ht="15" hidden="false" customHeight="false" outlineLevel="0" collapsed="false">
      <c r="A41" s="16" t="n">
        <v>36</v>
      </c>
      <c r="B41" s="75" t="s">
        <v>273</v>
      </c>
      <c r="C41" s="75" t="s">
        <v>213</v>
      </c>
      <c r="D41" s="76" t="s">
        <v>239</v>
      </c>
      <c r="E41" s="76" t="s">
        <v>268</v>
      </c>
      <c r="F41" s="77" t="n">
        <v>0.4</v>
      </c>
      <c r="G41" s="77" t="n">
        <v>0</v>
      </c>
      <c r="H41" s="77" t="n">
        <v>0.6</v>
      </c>
      <c r="I41" s="77" t="n">
        <v>0</v>
      </c>
      <c r="J41" s="77" t="n">
        <v>0.55</v>
      </c>
      <c r="K41" s="77" t="n">
        <v>0</v>
      </c>
      <c r="L41" s="77" t="n">
        <v>0.45</v>
      </c>
      <c r="M41" s="77" t="n">
        <v>0</v>
      </c>
      <c r="N41" s="77" t="n">
        <v>0.6</v>
      </c>
      <c r="O41" s="77" t="n">
        <v>0</v>
      </c>
      <c r="P41" s="77" t="n">
        <v>0.4</v>
      </c>
      <c r="Q41" s="77" t="n">
        <v>0</v>
      </c>
      <c r="R41" s="17" t="n">
        <f aca="false">J41</f>
        <v>0.55</v>
      </c>
      <c r="S41" s="17" t="n">
        <f aca="false">K41</f>
        <v>0</v>
      </c>
      <c r="T41" s="17" t="n">
        <f aca="false">L41</f>
        <v>0.45</v>
      </c>
      <c r="U41" s="17" t="n">
        <f aca="false">M41</f>
        <v>0</v>
      </c>
      <c r="V41" s="78" t="n">
        <f aca="false">CHOOSE(WeightIdx,F41,J41,N41,R41)</f>
        <v>0.55</v>
      </c>
      <c r="W41" s="78" t="n">
        <f aca="false">CHOOSE(WeightIdx,G41,K41,O41,S41)</f>
        <v>0</v>
      </c>
      <c r="X41" s="78" t="n">
        <f aca="false">CHOOSE(WeightIdx,H41,L41,P41,T41)</f>
        <v>0.45</v>
      </c>
      <c r="Y41" s="78" t="n">
        <f aca="false">CHOOSE(WeightIdx,I41,M41,Q41,U41)</f>
        <v>0</v>
      </c>
      <c r="Z41" s="17" t="n">
        <f aca="false">SUM(V41:Y41)</f>
        <v>1</v>
      </c>
      <c r="AA41" s="16" t="n">
        <f aca="false">25-SUMPRODUCT(MAX((Engine!$D118:$AA118&lt;&gt;"")*(25-Engine!$D$7:$AA$7)))</f>
        <v>5</v>
      </c>
      <c r="AB41" s="16" t="n">
        <f aca="false">SUMPRODUCT(MAX((Engine!$D118:$AA118&lt;&gt;"")*Engine!$D$7:$AA$7))</f>
        <v>24</v>
      </c>
    </row>
    <row r="42" customFormat="false" ht="15" hidden="false" customHeight="false" outlineLevel="0" collapsed="false">
      <c r="A42" s="16" t="n">
        <v>37</v>
      </c>
      <c r="B42" s="75" t="s">
        <v>274</v>
      </c>
      <c r="C42" s="75" t="s">
        <v>213</v>
      </c>
      <c r="D42" s="76" t="s">
        <v>239</v>
      </c>
      <c r="E42" s="76" t="s">
        <v>268</v>
      </c>
      <c r="F42" s="77" t="n">
        <v>0.4</v>
      </c>
      <c r="G42" s="77" t="n">
        <v>0</v>
      </c>
      <c r="H42" s="77" t="n">
        <v>0.6</v>
      </c>
      <c r="I42" s="77" t="n">
        <v>0</v>
      </c>
      <c r="J42" s="77" t="n">
        <v>0.55</v>
      </c>
      <c r="K42" s="77" t="n">
        <v>0</v>
      </c>
      <c r="L42" s="77" t="n">
        <v>0.45</v>
      </c>
      <c r="M42" s="77" t="n">
        <v>0</v>
      </c>
      <c r="N42" s="77" t="n">
        <v>0.6</v>
      </c>
      <c r="O42" s="77" t="n">
        <v>0</v>
      </c>
      <c r="P42" s="77" t="n">
        <v>0.4</v>
      </c>
      <c r="Q42" s="77" t="n">
        <v>0</v>
      </c>
      <c r="R42" s="17" t="n">
        <f aca="false">J42</f>
        <v>0.55</v>
      </c>
      <c r="S42" s="17" t="n">
        <f aca="false">K42</f>
        <v>0</v>
      </c>
      <c r="T42" s="17" t="n">
        <f aca="false">L42</f>
        <v>0.45</v>
      </c>
      <c r="U42" s="17" t="n">
        <f aca="false">M42</f>
        <v>0</v>
      </c>
      <c r="V42" s="78" t="n">
        <f aca="false">CHOOSE(WeightIdx,F42,J42,N42,R42)</f>
        <v>0.55</v>
      </c>
      <c r="W42" s="78" t="n">
        <f aca="false">CHOOSE(WeightIdx,G42,K42,O42,S42)</f>
        <v>0</v>
      </c>
      <c r="X42" s="78" t="n">
        <f aca="false">CHOOSE(WeightIdx,H42,L42,P42,T42)</f>
        <v>0.45</v>
      </c>
      <c r="Y42" s="78" t="n">
        <f aca="false">CHOOSE(WeightIdx,I42,M42,Q42,U42)</f>
        <v>0</v>
      </c>
      <c r="Z42" s="17" t="n">
        <f aca="false">SUM(V42:Y42)</f>
        <v>1</v>
      </c>
      <c r="AA42" s="16" t="n">
        <f aca="false">25-SUMPRODUCT(MAX((Engine!$D119:$AA119&lt;&gt;"")*(25-Engine!$D$7:$AA$7)))</f>
        <v>5</v>
      </c>
      <c r="AB42" s="16" t="n">
        <f aca="false">SUMPRODUCT(MAX((Engine!$D119:$AA119&lt;&gt;"")*Engine!$D$7:$AA$7))</f>
        <v>24</v>
      </c>
    </row>
    <row r="43" customFormat="false" ht="15" hidden="false" customHeight="false" outlineLevel="0" collapsed="false">
      <c r="A43" s="16" t="n">
        <v>38</v>
      </c>
      <c r="B43" s="75" t="s">
        <v>275</v>
      </c>
      <c r="C43" s="75" t="s">
        <v>213</v>
      </c>
      <c r="D43" s="76" t="s">
        <v>239</v>
      </c>
      <c r="E43" s="76" t="s">
        <v>268</v>
      </c>
      <c r="F43" s="77" t="n">
        <v>0.22</v>
      </c>
      <c r="G43" s="77" t="n">
        <v>0</v>
      </c>
      <c r="H43" s="77" t="n">
        <v>0.78</v>
      </c>
      <c r="I43" s="77" t="n">
        <v>0</v>
      </c>
      <c r="J43" s="77" t="n">
        <v>0.22</v>
      </c>
      <c r="K43" s="77" t="n">
        <v>0</v>
      </c>
      <c r="L43" s="77" t="n">
        <v>0.78</v>
      </c>
      <c r="M43" s="77" t="n">
        <v>0</v>
      </c>
      <c r="N43" s="77" t="n">
        <v>0.22</v>
      </c>
      <c r="O43" s="77" t="n">
        <v>0</v>
      </c>
      <c r="P43" s="77" t="n">
        <v>0.78</v>
      </c>
      <c r="Q43" s="77" t="n">
        <v>0</v>
      </c>
      <c r="R43" s="17" t="n">
        <f aca="false">J43</f>
        <v>0.22</v>
      </c>
      <c r="S43" s="17" t="n">
        <f aca="false">K43</f>
        <v>0</v>
      </c>
      <c r="T43" s="17" t="n">
        <f aca="false">L43</f>
        <v>0.78</v>
      </c>
      <c r="U43" s="17" t="n">
        <f aca="false">M43</f>
        <v>0</v>
      </c>
      <c r="V43" s="78" t="n">
        <f aca="false">CHOOSE(WeightIdx,F43,J43,N43,R43)</f>
        <v>0.22</v>
      </c>
      <c r="W43" s="78" t="n">
        <f aca="false">CHOOSE(WeightIdx,G43,K43,O43,S43)</f>
        <v>0</v>
      </c>
      <c r="X43" s="78" t="n">
        <f aca="false">CHOOSE(WeightIdx,H43,L43,P43,T43)</f>
        <v>0.78</v>
      </c>
      <c r="Y43" s="78" t="n">
        <f aca="false">CHOOSE(WeightIdx,I43,M43,Q43,U43)</f>
        <v>0</v>
      </c>
      <c r="Z43" s="17" t="n">
        <f aca="false">SUM(V43:Y43)</f>
        <v>1</v>
      </c>
      <c r="AA43" s="16" t="n">
        <f aca="false">25-SUMPRODUCT(MAX((Engine!$D120:$AA120&lt;&gt;"")*(25-Engine!$D$7:$AA$7)))</f>
        <v>5</v>
      </c>
      <c r="AB43" s="16" t="n">
        <f aca="false">SUMPRODUCT(MAX((Engine!$D120:$AA120&lt;&gt;"")*Engine!$D$7:$AA$7))</f>
        <v>24</v>
      </c>
    </row>
    <row r="44" customFormat="false" ht="15" hidden="false" customHeight="false" outlineLevel="0" collapsed="false">
      <c r="A44" s="16" t="n">
        <v>39</v>
      </c>
      <c r="B44" s="75" t="s">
        <v>276</v>
      </c>
      <c r="C44" s="75" t="s">
        <v>213</v>
      </c>
      <c r="D44" s="76" t="s">
        <v>239</v>
      </c>
      <c r="E44" s="76" t="s">
        <v>268</v>
      </c>
      <c r="F44" s="77" t="n">
        <v>0.31</v>
      </c>
      <c r="G44" s="77" t="n">
        <v>0</v>
      </c>
      <c r="H44" s="77" t="n">
        <v>0.69</v>
      </c>
      <c r="I44" s="77" t="n">
        <v>0</v>
      </c>
      <c r="J44" s="77" t="n">
        <v>0.31</v>
      </c>
      <c r="K44" s="77" t="n">
        <v>0</v>
      </c>
      <c r="L44" s="77" t="n">
        <v>0.69</v>
      </c>
      <c r="M44" s="77" t="n">
        <v>0</v>
      </c>
      <c r="N44" s="77" t="n">
        <v>0.31</v>
      </c>
      <c r="O44" s="77" t="n">
        <v>0</v>
      </c>
      <c r="P44" s="77" t="n">
        <v>0.69</v>
      </c>
      <c r="Q44" s="77" t="n">
        <v>0</v>
      </c>
      <c r="R44" s="17" t="n">
        <f aca="false">J44</f>
        <v>0.31</v>
      </c>
      <c r="S44" s="17" t="n">
        <f aca="false">K44</f>
        <v>0</v>
      </c>
      <c r="T44" s="17" t="n">
        <f aca="false">L44</f>
        <v>0.69</v>
      </c>
      <c r="U44" s="17" t="n">
        <f aca="false">M44</f>
        <v>0</v>
      </c>
      <c r="V44" s="78" t="n">
        <f aca="false">CHOOSE(WeightIdx,F44,J44,N44,R44)</f>
        <v>0.31</v>
      </c>
      <c r="W44" s="78" t="n">
        <f aca="false">CHOOSE(WeightIdx,G44,K44,O44,S44)</f>
        <v>0</v>
      </c>
      <c r="X44" s="78" t="n">
        <f aca="false">CHOOSE(WeightIdx,H44,L44,P44,T44)</f>
        <v>0.69</v>
      </c>
      <c r="Y44" s="78" t="n">
        <f aca="false">CHOOSE(WeightIdx,I44,M44,Q44,U44)</f>
        <v>0</v>
      </c>
      <c r="Z44" s="17" t="n">
        <f aca="false">SUM(V44:Y44)</f>
        <v>1</v>
      </c>
      <c r="AA44" s="16" t="n">
        <f aca="false">25-SUMPRODUCT(MAX((Engine!$D121:$AA121&lt;&gt;"")*(25-Engine!$D$7:$AA$7)))</f>
        <v>5</v>
      </c>
      <c r="AB44" s="16" t="n">
        <f aca="false">SUMPRODUCT(MAX((Engine!$D121:$AA121&lt;&gt;"")*Engine!$D$7:$AA$7))</f>
        <v>24</v>
      </c>
    </row>
    <row r="45" customFormat="false" ht="15" hidden="false" customHeight="false" outlineLevel="0" collapsed="false">
      <c r="A45" s="16" t="n">
        <v>40</v>
      </c>
      <c r="B45" s="75" t="s">
        <v>277</v>
      </c>
      <c r="C45" s="75" t="s">
        <v>213</v>
      </c>
      <c r="D45" s="76" t="s">
        <v>239</v>
      </c>
      <c r="E45" s="76" t="s">
        <v>268</v>
      </c>
      <c r="F45" s="77" t="n">
        <v>0.51</v>
      </c>
      <c r="G45" s="77" t="n">
        <v>0.49</v>
      </c>
      <c r="H45" s="77" t="n">
        <v>0</v>
      </c>
      <c r="I45" s="77" t="n">
        <v>0</v>
      </c>
      <c r="J45" s="77" t="n">
        <v>0.51</v>
      </c>
      <c r="K45" s="77" t="n">
        <v>0.49</v>
      </c>
      <c r="L45" s="77" t="n">
        <v>0</v>
      </c>
      <c r="M45" s="77" t="n">
        <v>0</v>
      </c>
      <c r="N45" s="77" t="n">
        <v>0.51</v>
      </c>
      <c r="O45" s="77" t="n">
        <v>0.49</v>
      </c>
      <c r="P45" s="77" t="n">
        <v>0</v>
      </c>
      <c r="Q45" s="77" t="n">
        <v>0</v>
      </c>
      <c r="R45" s="17" t="n">
        <f aca="false">J45</f>
        <v>0.51</v>
      </c>
      <c r="S45" s="17" t="n">
        <f aca="false">K45</f>
        <v>0.49</v>
      </c>
      <c r="T45" s="17" t="n">
        <f aca="false">L45</f>
        <v>0</v>
      </c>
      <c r="U45" s="17" t="n">
        <f aca="false">M45</f>
        <v>0</v>
      </c>
      <c r="V45" s="78" t="n">
        <f aca="false">CHOOSE(WeightIdx,F45,J45,N45,R45)</f>
        <v>0.51</v>
      </c>
      <c r="W45" s="78" t="n">
        <f aca="false">CHOOSE(WeightIdx,G45,K45,O45,S45)</f>
        <v>0.49</v>
      </c>
      <c r="X45" s="78" t="n">
        <f aca="false">CHOOSE(WeightIdx,H45,L45,P45,T45)</f>
        <v>0</v>
      </c>
      <c r="Y45" s="78" t="n">
        <f aca="false">CHOOSE(WeightIdx,I45,M45,Q45,U45)</f>
        <v>0</v>
      </c>
      <c r="Z45" s="17" t="n">
        <f aca="false">SUM(V45:Y45)</f>
        <v>1</v>
      </c>
      <c r="AA45" s="16" t="n">
        <f aca="false">25-SUMPRODUCT(MAX((Engine!$D122:$AA122&lt;&gt;"")*(25-Engine!$D$7:$AA$7)))</f>
        <v>5</v>
      </c>
      <c r="AB45" s="16" t="n">
        <f aca="false">SUMPRODUCT(MAX((Engine!$D122:$AA122&lt;&gt;"")*Engine!$D$7:$AA$7))</f>
        <v>24</v>
      </c>
    </row>
    <row r="46" customFormat="false" ht="15" hidden="false" customHeight="false" outlineLevel="0" collapsed="false">
      <c r="A46" s="16" t="n">
        <v>41</v>
      </c>
      <c r="B46" s="75" t="s">
        <v>278</v>
      </c>
      <c r="C46" s="75" t="s">
        <v>213</v>
      </c>
      <c r="D46" s="76" t="s">
        <v>239</v>
      </c>
      <c r="E46" s="76" t="s">
        <v>268</v>
      </c>
      <c r="F46" s="77" t="n">
        <v>0.2</v>
      </c>
      <c r="G46" s="77" t="n">
        <v>0</v>
      </c>
      <c r="H46" s="77" t="n">
        <v>0.8</v>
      </c>
      <c r="I46" s="77" t="n">
        <v>0</v>
      </c>
      <c r="J46" s="77" t="n">
        <v>0.22</v>
      </c>
      <c r="K46" s="77" t="n">
        <v>0</v>
      </c>
      <c r="L46" s="77" t="n">
        <v>0.78</v>
      </c>
      <c r="M46" s="77" t="n">
        <v>0</v>
      </c>
      <c r="N46" s="77" t="n">
        <v>0.24</v>
      </c>
      <c r="O46" s="77" t="n">
        <v>0</v>
      </c>
      <c r="P46" s="77" t="n">
        <v>0.76</v>
      </c>
      <c r="Q46" s="77" t="n">
        <v>0</v>
      </c>
      <c r="R46" s="17" t="n">
        <f aca="false">J46</f>
        <v>0.22</v>
      </c>
      <c r="S46" s="17" t="n">
        <f aca="false">K46</f>
        <v>0</v>
      </c>
      <c r="T46" s="17" t="n">
        <f aca="false">L46</f>
        <v>0.78</v>
      </c>
      <c r="U46" s="17" t="n">
        <f aca="false">M46</f>
        <v>0</v>
      </c>
      <c r="V46" s="78" t="n">
        <f aca="false">CHOOSE(WeightIdx,F46,J46,N46,R46)</f>
        <v>0.22</v>
      </c>
      <c r="W46" s="78" t="n">
        <f aca="false">CHOOSE(WeightIdx,G46,K46,O46,S46)</f>
        <v>0</v>
      </c>
      <c r="X46" s="78" t="n">
        <f aca="false">CHOOSE(WeightIdx,H46,L46,P46,T46)</f>
        <v>0.78</v>
      </c>
      <c r="Y46" s="78" t="n">
        <f aca="false">CHOOSE(WeightIdx,I46,M46,Q46,U46)</f>
        <v>0</v>
      </c>
      <c r="Z46" s="17" t="n">
        <f aca="false">SUM(V46:Y46)</f>
        <v>1</v>
      </c>
      <c r="AA46" s="16" t="n">
        <f aca="false">25-SUMPRODUCT(MAX((Engine!$D123:$AA123&lt;&gt;"")*(25-Engine!$D$7:$AA$7)))</f>
        <v>5</v>
      </c>
      <c r="AB46" s="16" t="n">
        <f aca="false">SUMPRODUCT(MAX((Engine!$D123:$AA123&lt;&gt;"")*Engine!$D$7:$AA$7))</f>
        <v>24</v>
      </c>
    </row>
    <row r="47" customFormat="false" ht="15" hidden="false" customHeight="false" outlineLevel="0" collapsed="false">
      <c r="A47" s="16" t="n">
        <v>42</v>
      </c>
      <c r="B47" s="75" t="s">
        <v>279</v>
      </c>
      <c r="C47" s="75" t="s">
        <v>213</v>
      </c>
      <c r="D47" s="76" t="s">
        <v>239</v>
      </c>
      <c r="E47" s="76" t="s">
        <v>268</v>
      </c>
      <c r="F47" s="77" t="n">
        <v>0.4</v>
      </c>
      <c r="G47" s="77" t="n">
        <v>0</v>
      </c>
      <c r="H47" s="77" t="n">
        <v>0.6</v>
      </c>
      <c r="I47" s="77" t="n">
        <v>0</v>
      </c>
      <c r="J47" s="77" t="n">
        <v>0.4</v>
      </c>
      <c r="K47" s="77" t="n">
        <v>0</v>
      </c>
      <c r="L47" s="77" t="n">
        <v>0.6</v>
      </c>
      <c r="M47" s="77" t="n">
        <v>0</v>
      </c>
      <c r="N47" s="77" t="n">
        <v>0.4</v>
      </c>
      <c r="O47" s="77" t="n">
        <v>0</v>
      </c>
      <c r="P47" s="77" t="n">
        <v>0.6</v>
      </c>
      <c r="Q47" s="77" t="n">
        <v>0</v>
      </c>
      <c r="R47" s="17" t="n">
        <f aca="false">J47</f>
        <v>0.4</v>
      </c>
      <c r="S47" s="17" t="n">
        <f aca="false">K47</f>
        <v>0</v>
      </c>
      <c r="T47" s="17" t="n">
        <f aca="false">L47</f>
        <v>0.6</v>
      </c>
      <c r="U47" s="17" t="n">
        <f aca="false">M47</f>
        <v>0</v>
      </c>
      <c r="V47" s="78" t="n">
        <f aca="false">CHOOSE(WeightIdx,F47,J47,N47,R47)</f>
        <v>0.4</v>
      </c>
      <c r="W47" s="78" t="n">
        <f aca="false">CHOOSE(WeightIdx,G47,K47,O47,S47)</f>
        <v>0</v>
      </c>
      <c r="X47" s="78" t="n">
        <f aca="false">CHOOSE(WeightIdx,H47,L47,P47,T47)</f>
        <v>0.6</v>
      </c>
      <c r="Y47" s="78" t="n">
        <f aca="false">CHOOSE(WeightIdx,I47,M47,Q47,U47)</f>
        <v>0</v>
      </c>
      <c r="Z47" s="17" t="n">
        <f aca="false">SUM(V47:Y47)</f>
        <v>1</v>
      </c>
      <c r="AA47" s="16" t="n">
        <f aca="false">25-SUMPRODUCT(MAX((Engine!$D124:$AA124&lt;&gt;"")*(25-Engine!$D$7:$AA$7)))</f>
        <v>5</v>
      </c>
      <c r="AB47" s="16" t="n">
        <f aca="false">SUMPRODUCT(MAX((Engine!$D124:$AA124&lt;&gt;"")*Engine!$D$7:$AA$7))</f>
        <v>24</v>
      </c>
    </row>
    <row r="48" customFormat="false" ht="15" hidden="false" customHeight="false" outlineLevel="0" collapsed="false">
      <c r="A48" s="16" t="n">
        <v>43</v>
      </c>
      <c r="B48" s="75" t="s">
        <v>280</v>
      </c>
      <c r="C48" s="75" t="s">
        <v>213</v>
      </c>
      <c r="D48" s="76" t="s">
        <v>239</v>
      </c>
      <c r="E48" s="76" t="s">
        <v>268</v>
      </c>
      <c r="F48" s="77" t="n">
        <v>0.4</v>
      </c>
      <c r="G48" s="77" t="n">
        <v>0</v>
      </c>
      <c r="H48" s="77" t="n">
        <v>0.6</v>
      </c>
      <c r="I48" s="77" t="n">
        <v>0</v>
      </c>
      <c r="J48" s="77" t="n">
        <v>0.4</v>
      </c>
      <c r="K48" s="77" t="n">
        <v>0</v>
      </c>
      <c r="L48" s="77" t="n">
        <v>0.6</v>
      </c>
      <c r="M48" s="77" t="n">
        <v>0</v>
      </c>
      <c r="N48" s="77" t="n">
        <v>0.4</v>
      </c>
      <c r="O48" s="77" t="n">
        <v>0</v>
      </c>
      <c r="P48" s="77" t="n">
        <v>0.6</v>
      </c>
      <c r="Q48" s="77" t="n">
        <v>0</v>
      </c>
      <c r="R48" s="17" t="n">
        <f aca="false">J48</f>
        <v>0.4</v>
      </c>
      <c r="S48" s="17" t="n">
        <f aca="false">K48</f>
        <v>0</v>
      </c>
      <c r="T48" s="17" t="n">
        <f aca="false">L48</f>
        <v>0.6</v>
      </c>
      <c r="U48" s="17" t="n">
        <f aca="false">M48</f>
        <v>0</v>
      </c>
      <c r="V48" s="78" t="n">
        <f aca="false">CHOOSE(WeightIdx,F48,J48,N48,R48)</f>
        <v>0.4</v>
      </c>
      <c r="W48" s="78" t="n">
        <f aca="false">CHOOSE(WeightIdx,G48,K48,O48,S48)</f>
        <v>0</v>
      </c>
      <c r="X48" s="78" t="n">
        <f aca="false">CHOOSE(WeightIdx,H48,L48,P48,T48)</f>
        <v>0.6</v>
      </c>
      <c r="Y48" s="78" t="n">
        <f aca="false">CHOOSE(WeightIdx,I48,M48,Q48,U48)</f>
        <v>0</v>
      </c>
      <c r="Z48" s="17" t="n">
        <f aca="false">SUM(V48:Y48)</f>
        <v>1</v>
      </c>
      <c r="AA48" s="16" t="n">
        <f aca="false">25-SUMPRODUCT(MAX((Engine!$D125:$AA125&lt;&gt;"")*(25-Engine!$D$7:$AA$7)))</f>
        <v>5</v>
      </c>
      <c r="AB48" s="16" t="n">
        <f aca="false">SUMPRODUCT(MAX((Engine!$D125:$AA125&lt;&gt;"")*Engine!$D$7:$AA$7))</f>
        <v>24</v>
      </c>
    </row>
    <row r="49" customFormat="false" ht="15" hidden="false" customHeight="false" outlineLevel="0" collapsed="false">
      <c r="A49" s="16" t="n">
        <v>44</v>
      </c>
      <c r="B49" s="75" t="s">
        <v>281</v>
      </c>
      <c r="C49" s="75" t="s">
        <v>213</v>
      </c>
      <c r="D49" s="76" t="s">
        <v>239</v>
      </c>
      <c r="E49" s="76" t="s">
        <v>268</v>
      </c>
      <c r="F49" s="77" t="n">
        <v>0.4</v>
      </c>
      <c r="G49" s="77" t="n">
        <v>0</v>
      </c>
      <c r="H49" s="77" t="n">
        <v>0.6</v>
      </c>
      <c r="I49" s="77" t="n">
        <v>0</v>
      </c>
      <c r="J49" s="77" t="n">
        <v>0.4</v>
      </c>
      <c r="K49" s="77" t="n">
        <v>0</v>
      </c>
      <c r="L49" s="77" t="n">
        <v>0.6</v>
      </c>
      <c r="M49" s="77" t="n">
        <v>0</v>
      </c>
      <c r="N49" s="77" t="n">
        <v>0.4</v>
      </c>
      <c r="O49" s="77" t="n">
        <v>0</v>
      </c>
      <c r="P49" s="77" t="n">
        <v>0.6</v>
      </c>
      <c r="Q49" s="77" t="n">
        <v>0</v>
      </c>
      <c r="R49" s="17" t="n">
        <f aca="false">J49</f>
        <v>0.4</v>
      </c>
      <c r="S49" s="17" t="n">
        <f aca="false">K49</f>
        <v>0</v>
      </c>
      <c r="T49" s="17" t="n">
        <f aca="false">L49</f>
        <v>0.6</v>
      </c>
      <c r="U49" s="17" t="n">
        <f aca="false">M49</f>
        <v>0</v>
      </c>
      <c r="V49" s="78" t="n">
        <f aca="false">CHOOSE(WeightIdx,F49,J49,N49,R49)</f>
        <v>0.4</v>
      </c>
      <c r="W49" s="78" t="n">
        <f aca="false">CHOOSE(WeightIdx,G49,K49,O49,S49)</f>
        <v>0</v>
      </c>
      <c r="X49" s="78" t="n">
        <f aca="false">CHOOSE(WeightIdx,H49,L49,P49,T49)</f>
        <v>0.6</v>
      </c>
      <c r="Y49" s="78" t="n">
        <f aca="false">CHOOSE(WeightIdx,I49,M49,Q49,U49)</f>
        <v>0</v>
      </c>
      <c r="Z49" s="17" t="n">
        <f aca="false">SUM(V49:Y49)</f>
        <v>1</v>
      </c>
      <c r="AA49" s="16" t="n">
        <f aca="false">25-SUMPRODUCT(MAX((Engine!$D126:$AA126&lt;&gt;"")*(25-Engine!$D$7:$AA$7)))</f>
        <v>5</v>
      </c>
      <c r="AB49" s="16" t="n">
        <f aca="false">SUMPRODUCT(MAX((Engine!$D126:$AA126&lt;&gt;"")*Engine!$D$7:$AA$7))</f>
        <v>24</v>
      </c>
    </row>
    <row r="50" customFormat="false" ht="15" hidden="false" customHeight="false" outlineLevel="0" collapsed="false">
      <c r="A50" s="16" t="n">
        <v>45</v>
      </c>
      <c r="B50" s="75" t="s">
        <v>282</v>
      </c>
      <c r="C50" s="75" t="s">
        <v>214</v>
      </c>
      <c r="D50" s="76" t="s">
        <v>239</v>
      </c>
      <c r="E50" s="76" t="s">
        <v>268</v>
      </c>
      <c r="F50" s="77" t="n">
        <v>0.4</v>
      </c>
      <c r="G50" s="77" t="n">
        <v>0</v>
      </c>
      <c r="H50" s="77" t="n">
        <v>0.3</v>
      </c>
      <c r="I50" s="77" t="n">
        <v>0.3</v>
      </c>
      <c r="J50" s="77" t="n">
        <v>0.4</v>
      </c>
      <c r="K50" s="77" t="n">
        <v>0</v>
      </c>
      <c r="L50" s="77" t="n">
        <v>0.3</v>
      </c>
      <c r="M50" s="77" t="n">
        <v>0.3</v>
      </c>
      <c r="N50" s="77" t="n">
        <v>0.4</v>
      </c>
      <c r="O50" s="77" t="n">
        <v>0</v>
      </c>
      <c r="P50" s="77" t="n">
        <v>0.3</v>
      </c>
      <c r="Q50" s="77" t="n">
        <v>0.3</v>
      </c>
      <c r="R50" s="17" t="n">
        <f aca="false">J50</f>
        <v>0.4</v>
      </c>
      <c r="S50" s="17" t="n">
        <f aca="false">K50</f>
        <v>0</v>
      </c>
      <c r="T50" s="17" t="n">
        <f aca="false">L50</f>
        <v>0.3</v>
      </c>
      <c r="U50" s="17" t="n">
        <f aca="false">M50</f>
        <v>0.3</v>
      </c>
      <c r="V50" s="78" t="n">
        <f aca="false">CHOOSE(WeightIdx,F50,J50,N50,R50)</f>
        <v>0.4</v>
      </c>
      <c r="W50" s="78" t="n">
        <f aca="false">CHOOSE(WeightIdx,G50,K50,O50,S50)</f>
        <v>0</v>
      </c>
      <c r="X50" s="78" t="n">
        <f aca="false">CHOOSE(WeightIdx,H50,L50,P50,T50)</f>
        <v>0.3</v>
      </c>
      <c r="Y50" s="78" t="n">
        <f aca="false">CHOOSE(WeightIdx,I50,M50,Q50,U50)</f>
        <v>0.3</v>
      </c>
      <c r="Z50" s="17" t="n">
        <f aca="false">SUM(V50:Y50)</f>
        <v>1</v>
      </c>
      <c r="AA50" s="16" t="n">
        <f aca="false">25-SUMPRODUCT(MAX((Engine!$D127:$AA127&lt;&gt;"")*(25-Engine!$D$7:$AA$7)))</f>
        <v>5</v>
      </c>
      <c r="AB50" s="16" t="n">
        <f aca="false">SUMPRODUCT(MAX((Engine!$D127:$AA127&lt;&gt;"")*Engine!$D$7:$AA$7))</f>
        <v>24</v>
      </c>
    </row>
    <row r="51" customFormat="false" ht="15" hidden="false" customHeight="false" outlineLevel="0" collapsed="false">
      <c r="A51" s="16" t="n">
        <v>46</v>
      </c>
      <c r="B51" s="75" t="s">
        <v>283</v>
      </c>
      <c r="C51" s="75" t="s">
        <v>214</v>
      </c>
      <c r="D51" s="76" t="s">
        <v>239</v>
      </c>
      <c r="E51" s="76" t="s">
        <v>268</v>
      </c>
      <c r="F51" s="77" t="n">
        <v>0.35</v>
      </c>
      <c r="G51" s="77" t="n">
        <v>0</v>
      </c>
      <c r="H51" s="77" t="n">
        <v>0.33</v>
      </c>
      <c r="I51" s="77" t="n">
        <v>0.32</v>
      </c>
      <c r="J51" s="77" t="n">
        <v>0.35</v>
      </c>
      <c r="K51" s="77" t="n">
        <v>0</v>
      </c>
      <c r="L51" s="77" t="n">
        <v>0.33</v>
      </c>
      <c r="M51" s="77" t="n">
        <v>0.32</v>
      </c>
      <c r="N51" s="77" t="n">
        <v>0.35</v>
      </c>
      <c r="O51" s="77" t="n">
        <v>0</v>
      </c>
      <c r="P51" s="77" t="n">
        <v>0.33</v>
      </c>
      <c r="Q51" s="77" t="n">
        <v>0.32</v>
      </c>
      <c r="R51" s="17" t="n">
        <f aca="false">J51</f>
        <v>0.35</v>
      </c>
      <c r="S51" s="17" t="n">
        <f aca="false">K51</f>
        <v>0</v>
      </c>
      <c r="T51" s="17" t="n">
        <f aca="false">L51</f>
        <v>0.33</v>
      </c>
      <c r="U51" s="17" t="n">
        <f aca="false">M51</f>
        <v>0.32</v>
      </c>
      <c r="V51" s="78" t="n">
        <f aca="false">CHOOSE(WeightIdx,F51,J51,N51,R51)</f>
        <v>0.35</v>
      </c>
      <c r="W51" s="78" t="n">
        <f aca="false">CHOOSE(WeightIdx,G51,K51,O51,S51)</f>
        <v>0</v>
      </c>
      <c r="X51" s="78" t="n">
        <f aca="false">CHOOSE(WeightIdx,H51,L51,P51,T51)</f>
        <v>0.33</v>
      </c>
      <c r="Y51" s="78" t="n">
        <f aca="false">CHOOSE(WeightIdx,I51,M51,Q51,U51)</f>
        <v>0.32</v>
      </c>
      <c r="Z51" s="17" t="n">
        <f aca="false">SUM(V51:Y51)</f>
        <v>1</v>
      </c>
      <c r="AA51" s="16" t="n">
        <f aca="false">25-SUMPRODUCT(MAX((Engine!$D128:$AA128&lt;&gt;"")*(25-Engine!$D$7:$AA$7)))</f>
        <v>5</v>
      </c>
      <c r="AB51" s="16" t="n">
        <f aca="false">SUMPRODUCT(MAX((Engine!$D128:$AA128&lt;&gt;"")*Engine!$D$7:$AA$7))</f>
        <v>24</v>
      </c>
    </row>
    <row r="52" customFormat="false" ht="15" hidden="false" customHeight="false" outlineLevel="0" collapsed="false">
      <c r="A52" s="16" t="n">
        <v>47</v>
      </c>
      <c r="B52" s="75" t="s">
        <v>284</v>
      </c>
      <c r="C52" s="75" t="s">
        <v>214</v>
      </c>
      <c r="D52" s="76" t="s">
        <v>239</v>
      </c>
      <c r="E52" s="76" t="s">
        <v>268</v>
      </c>
      <c r="F52" s="77" t="n">
        <v>0.3</v>
      </c>
      <c r="G52" s="77" t="n">
        <v>0</v>
      </c>
      <c r="H52" s="77" t="n">
        <v>0.35</v>
      </c>
      <c r="I52" s="77" t="n">
        <v>0.35</v>
      </c>
      <c r="J52" s="77" t="n">
        <v>0.3</v>
      </c>
      <c r="K52" s="77" t="n">
        <v>0</v>
      </c>
      <c r="L52" s="77" t="n">
        <v>0.35</v>
      </c>
      <c r="M52" s="77" t="n">
        <v>0.35</v>
      </c>
      <c r="N52" s="77" t="n">
        <v>0.3</v>
      </c>
      <c r="O52" s="77" t="n">
        <v>0</v>
      </c>
      <c r="P52" s="77" t="n">
        <v>0.35</v>
      </c>
      <c r="Q52" s="77" t="n">
        <v>0.35</v>
      </c>
      <c r="R52" s="17" t="n">
        <f aca="false">J52</f>
        <v>0.3</v>
      </c>
      <c r="S52" s="17" t="n">
        <f aca="false">K52</f>
        <v>0</v>
      </c>
      <c r="T52" s="17" t="n">
        <f aca="false">L52</f>
        <v>0.35</v>
      </c>
      <c r="U52" s="17" t="n">
        <f aca="false">M52</f>
        <v>0.35</v>
      </c>
      <c r="V52" s="78" t="n">
        <f aca="false">CHOOSE(WeightIdx,F52,J52,N52,R52)</f>
        <v>0.3</v>
      </c>
      <c r="W52" s="78" t="n">
        <f aca="false">CHOOSE(WeightIdx,G52,K52,O52,S52)</f>
        <v>0</v>
      </c>
      <c r="X52" s="78" t="n">
        <f aca="false">CHOOSE(WeightIdx,H52,L52,P52,T52)</f>
        <v>0.35</v>
      </c>
      <c r="Y52" s="78" t="n">
        <f aca="false">CHOOSE(WeightIdx,I52,M52,Q52,U52)</f>
        <v>0.35</v>
      </c>
      <c r="Z52" s="17" t="n">
        <f aca="false">SUM(V52:Y52)</f>
        <v>1</v>
      </c>
      <c r="AA52" s="16" t="n">
        <f aca="false">25-SUMPRODUCT(MAX((Engine!$D129:$AA129&lt;&gt;"")*(25-Engine!$D$7:$AA$7)))</f>
        <v>5</v>
      </c>
      <c r="AB52" s="16" t="n">
        <f aca="false">SUMPRODUCT(MAX((Engine!$D129:$AA129&lt;&gt;"")*Engine!$D$7:$AA$7))</f>
        <v>24</v>
      </c>
    </row>
    <row r="53" customFormat="false" ht="15" hidden="false" customHeight="false" outlineLevel="0" collapsed="false">
      <c r="A53" s="16" t="n">
        <v>48</v>
      </c>
      <c r="B53" s="75" t="s">
        <v>285</v>
      </c>
      <c r="C53" s="75" t="s">
        <v>214</v>
      </c>
      <c r="D53" s="76" t="s">
        <v>239</v>
      </c>
      <c r="E53" s="76" t="s">
        <v>268</v>
      </c>
      <c r="F53" s="77" t="n">
        <v>0.4</v>
      </c>
      <c r="G53" s="77" t="n">
        <v>0</v>
      </c>
      <c r="H53" s="77" t="n">
        <v>0.3</v>
      </c>
      <c r="I53" s="77" t="n">
        <v>0.3</v>
      </c>
      <c r="J53" s="77" t="n">
        <v>0.4</v>
      </c>
      <c r="K53" s="77" t="n">
        <v>0</v>
      </c>
      <c r="L53" s="77" t="n">
        <v>0.3</v>
      </c>
      <c r="M53" s="77" t="n">
        <v>0.3</v>
      </c>
      <c r="N53" s="77" t="n">
        <v>0.4</v>
      </c>
      <c r="O53" s="77" t="n">
        <v>0</v>
      </c>
      <c r="P53" s="77" t="n">
        <v>0.3</v>
      </c>
      <c r="Q53" s="77" t="n">
        <v>0.3</v>
      </c>
      <c r="R53" s="17" t="n">
        <f aca="false">J53</f>
        <v>0.4</v>
      </c>
      <c r="S53" s="17" t="n">
        <f aca="false">K53</f>
        <v>0</v>
      </c>
      <c r="T53" s="17" t="n">
        <f aca="false">L53</f>
        <v>0.3</v>
      </c>
      <c r="U53" s="17" t="n">
        <f aca="false">M53</f>
        <v>0.3</v>
      </c>
      <c r="V53" s="78" t="n">
        <f aca="false">CHOOSE(WeightIdx,F53,J53,N53,R53)</f>
        <v>0.4</v>
      </c>
      <c r="W53" s="78" t="n">
        <f aca="false">CHOOSE(WeightIdx,G53,K53,O53,S53)</f>
        <v>0</v>
      </c>
      <c r="X53" s="78" t="n">
        <f aca="false">CHOOSE(WeightIdx,H53,L53,P53,T53)</f>
        <v>0.3</v>
      </c>
      <c r="Y53" s="78" t="n">
        <f aca="false">CHOOSE(WeightIdx,I53,M53,Q53,U53)</f>
        <v>0.3</v>
      </c>
      <c r="Z53" s="17" t="n">
        <f aca="false">SUM(V53:Y53)</f>
        <v>1</v>
      </c>
      <c r="AA53" s="16" t="n">
        <f aca="false">25-SUMPRODUCT(MAX((Engine!$D130:$AA130&lt;&gt;"")*(25-Engine!$D$7:$AA$7)))</f>
        <v>5</v>
      </c>
      <c r="AB53" s="16" t="n">
        <f aca="false">SUMPRODUCT(MAX((Engine!$D130:$AA130&lt;&gt;"")*Engine!$D$7:$AA$7))</f>
        <v>24</v>
      </c>
    </row>
    <row r="54" customFormat="false" ht="15" hidden="false" customHeight="false" outlineLevel="0" collapsed="false">
      <c r="A54" s="16" t="n">
        <v>49</v>
      </c>
      <c r="B54" s="75" t="s">
        <v>286</v>
      </c>
      <c r="C54" s="75" t="s">
        <v>214</v>
      </c>
      <c r="D54" s="76" t="s">
        <v>239</v>
      </c>
      <c r="E54" s="76" t="s">
        <v>268</v>
      </c>
      <c r="F54" s="77" t="n">
        <v>0.45</v>
      </c>
      <c r="G54" s="77" t="n">
        <v>0</v>
      </c>
      <c r="H54" s="77" t="n">
        <v>0.29</v>
      </c>
      <c r="I54" s="77" t="n">
        <v>0.26</v>
      </c>
      <c r="J54" s="77" t="n">
        <v>0.45</v>
      </c>
      <c r="K54" s="77" t="n">
        <v>0</v>
      </c>
      <c r="L54" s="77" t="n">
        <v>0.29</v>
      </c>
      <c r="M54" s="77" t="n">
        <v>0.26</v>
      </c>
      <c r="N54" s="77" t="n">
        <v>0.45</v>
      </c>
      <c r="O54" s="77" t="n">
        <v>0</v>
      </c>
      <c r="P54" s="77" t="n">
        <v>0.29</v>
      </c>
      <c r="Q54" s="77" t="n">
        <v>0.26</v>
      </c>
      <c r="R54" s="17" t="n">
        <f aca="false">J54</f>
        <v>0.45</v>
      </c>
      <c r="S54" s="17" t="n">
        <f aca="false">K54</f>
        <v>0</v>
      </c>
      <c r="T54" s="17" t="n">
        <f aca="false">L54</f>
        <v>0.29</v>
      </c>
      <c r="U54" s="17" t="n">
        <f aca="false">M54</f>
        <v>0.26</v>
      </c>
      <c r="V54" s="78" t="n">
        <f aca="false">CHOOSE(WeightIdx,F54,J54,N54,R54)</f>
        <v>0.45</v>
      </c>
      <c r="W54" s="78" t="n">
        <f aca="false">CHOOSE(WeightIdx,G54,K54,O54,S54)</f>
        <v>0</v>
      </c>
      <c r="X54" s="78" t="n">
        <f aca="false">CHOOSE(WeightIdx,H54,L54,P54,T54)</f>
        <v>0.29</v>
      </c>
      <c r="Y54" s="78" t="n">
        <f aca="false">CHOOSE(WeightIdx,I54,M54,Q54,U54)</f>
        <v>0.26</v>
      </c>
      <c r="Z54" s="17" t="n">
        <f aca="false">SUM(V54:Y54)</f>
        <v>1</v>
      </c>
      <c r="AA54" s="16" t="n">
        <f aca="false">25-SUMPRODUCT(MAX((Engine!$D131:$AA131&lt;&gt;"")*(25-Engine!$D$7:$AA$7)))</f>
        <v>5</v>
      </c>
      <c r="AB54" s="16" t="n">
        <f aca="false">SUMPRODUCT(MAX((Engine!$D131:$AA131&lt;&gt;"")*Engine!$D$7:$AA$7))</f>
        <v>24</v>
      </c>
    </row>
    <row r="55" customFormat="false" ht="15" hidden="false" customHeight="false" outlineLevel="0" collapsed="false">
      <c r="A55" s="16" t="n">
        <v>50</v>
      </c>
      <c r="B55" s="75" t="s">
        <v>166</v>
      </c>
      <c r="C55" s="75" t="s">
        <v>215</v>
      </c>
      <c r="D55" s="76" t="s">
        <v>287</v>
      </c>
      <c r="E55" s="76" t="s">
        <v>268</v>
      </c>
      <c r="F55" s="77" t="n">
        <v>0.77</v>
      </c>
      <c r="G55" s="77" t="n">
        <v>0.23</v>
      </c>
      <c r="H55" s="77" t="n">
        <v>0</v>
      </c>
      <c r="I55" s="77" t="n">
        <v>0</v>
      </c>
      <c r="J55" s="77" t="n">
        <v>0.77</v>
      </c>
      <c r="K55" s="77" t="n">
        <v>0.23</v>
      </c>
      <c r="L55" s="77" t="n">
        <v>0</v>
      </c>
      <c r="M55" s="77" t="n">
        <v>0</v>
      </c>
      <c r="N55" s="77" t="n">
        <v>0.77</v>
      </c>
      <c r="O55" s="77" t="n">
        <v>0.23</v>
      </c>
      <c r="P55" s="77" t="n">
        <v>0</v>
      </c>
      <c r="Q55" s="77" t="n">
        <v>0</v>
      </c>
      <c r="R55" s="17" t="n">
        <f aca="false">J55</f>
        <v>0.77</v>
      </c>
      <c r="S55" s="17" t="n">
        <f aca="false">K55</f>
        <v>0.23</v>
      </c>
      <c r="T55" s="17" t="n">
        <f aca="false">L55</f>
        <v>0</v>
      </c>
      <c r="U55" s="17" t="n">
        <f aca="false">M55</f>
        <v>0</v>
      </c>
      <c r="V55" s="78" t="n">
        <f aca="false">CHOOSE(WeightIdx,F55,J55,N55,R55)</f>
        <v>0.77</v>
      </c>
      <c r="W55" s="78" t="n">
        <f aca="false">CHOOSE(WeightIdx,G55,K55,O55,S55)</f>
        <v>0.23</v>
      </c>
      <c r="X55" s="78" t="n">
        <f aca="false">CHOOSE(WeightIdx,H55,L55,P55,T55)</f>
        <v>0</v>
      </c>
      <c r="Y55" s="78" t="n">
        <f aca="false">CHOOSE(WeightIdx,I55,M55,Q55,U55)</f>
        <v>0</v>
      </c>
      <c r="Z55" s="17" t="n">
        <f aca="false">SUM(V55:Y55)</f>
        <v>1</v>
      </c>
      <c r="AA55" s="16" t="n">
        <f aca="false">25-SUMPRODUCT(MAX((Engine!$D132:$AA132&lt;&gt;"")*(25-Engine!$D$7:$AA$7)))</f>
        <v>1</v>
      </c>
      <c r="AB55" s="16" t="n">
        <f aca="false">SUMPRODUCT(MAX((Engine!$D132:$AA132&lt;&gt;"")*Engine!$D$7:$AA$7))</f>
        <v>1</v>
      </c>
    </row>
    <row r="56" customFormat="false" ht="15" hidden="false" customHeight="false" outlineLevel="0" collapsed="false">
      <c r="A56" s="16" t="n">
        <v>51</v>
      </c>
      <c r="B56" s="75" t="s">
        <v>288</v>
      </c>
      <c r="C56" s="75" t="s">
        <v>215</v>
      </c>
      <c r="D56" s="76" t="s">
        <v>287</v>
      </c>
      <c r="E56" s="76" t="s">
        <v>268</v>
      </c>
      <c r="F56" s="77" t="n">
        <v>0.77</v>
      </c>
      <c r="G56" s="77" t="n">
        <v>0.23</v>
      </c>
      <c r="H56" s="77" t="n">
        <v>0</v>
      </c>
      <c r="I56" s="77" t="n">
        <v>0</v>
      </c>
      <c r="J56" s="77" t="n">
        <v>0.77</v>
      </c>
      <c r="K56" s="77" t="n">
        <v>0.23</v>
      </c>
      <c r="L56" s="77" t="n">
        <v>0</v>
      </c>
      <c r="M56" s="77" t="n">
        <v>0</v>
      </c>
      <c r="N56" s="77" t="n">
        <v>0.77</v>
      </c>
      <c r="O56" s="77" t="n">
        <v>0.23</v>
      </c>
      <c r="P56" s="77" t="n">
        <v>0</v>
      </c>
      <c r="Q56" s="77" t="n">
        <v>0</v>
      </c>
      <c r="R56" s="17" t="n">
        <f aca="false">J56</f>
        <v>0.77</v>
      </c>
      <c r="S56" s="17" t="n">
        <f aca="false">K56</f>
        <v>0.23</v>
      </c>
      <c r="T56" s="17" t="n">
        <f aca="false">L56</f>
        <v>0</v>
      </c>
      <c r="U56" s="17" t="n">
        <f aca="false">M56</f>
        <v>0</v>
      </c>
      <c r="V56" s="78" t="n">
        <f aca="false">CHOOSE(WeightIdx,F56,J56,N56,R56)</f>
        <v>0.77</v>
      </c>
      <c r="W56" s="78" t="n">
        <f aca="false">CHOOSE(WeightIdx,G56,K56,O56,S56)</f>
        <v>0.23</v>
      </c>
      <c r="X56" s="78" t="n">
        <f aca="false">CHOOSE(WeightIdx,H56,L56,P56,T56)</f>
        <v>0</v>
      </c>
      <c r="Y56" s="78" t="n">
        <f aca="false">CHOOSE(WeightIdx,I56,M56,Q56,U56)</f>
        <v>0</v>
      </c>
      <c r="Z56" s="17" t="n">
        <f aca="false">SUM(V56:Y56)</f>
        <v>1</v>
      </c>
      <c r="AA56" s="16" t="n">
        <f aca="false">25-SUMPRODUCT(MAX((Engine!$D133:$AA133&lt;&gt;"")*(25-Engine!$D$7:$AA$7)))</f>
        <v>1</v>
      </c>
      <c r="AB56" s="16" t="n">
        <f aca="false">SUMPRODUCT(MAX((Engine!$D133:$AA133&lt;&gt;"")*Engine!$D$7:$AA$7))</f>
        <v>1</v>
      </c>
    </row>
    <row r="57" customFormat="false" ht="15" hidden="false" customHeight="false" outlineLevel="0" collapsed="false">
      <c r="A57" s="16" t="n">
        <v>52</v>
      </c>
      <c r="B57" s="75" t="s">
        <v>289</v>
      </c>
      <c r="C57" s="75" t="s">
        <v>215</v>
      </c>
      <c r="D57" s="76" t="s">
        <v>287</v>
      </c>
      <c r="E57" s="76" t="s">
        <v>268</v>
      </c>
      <c r="F57" s="77" t="n">
        <v>0.77</v>
      </c>
      <c r="G57" s="77" t="n">
        <v>0.23</v>
      </c>
      <c r="H57" s="77" t="n">
        <v>0</v>
      </c>
      <c r="I57" s="77" t="n">
        <v>0</v>
      </c>
      <c r="J57" s="77" t="n">
        <v>0.77</v>
      </c>
      <c r="K57" s="77" t="n">
        <v>0.23</v>
      </c>
      <c r="L57" s="77" t="n">
        <v>0</v>
      </c>
      <c r="M57" s="77" t="n">
        <v>0</v>
      </c>
      <c r="N57" s="77" t="n">
        <v>0.77</v>
      </c>
      <c r="O57" s="77" t="n">
        <v>0.23</v>
      </c>
      <c r="P57" s="77" t="n">
        <v>0</v>
      </c>
      <c r="Q57" s="77" t="n">
        <v>0</v>
      </c>
      <c r="R57" s="17" t="n">
        <f aca="false">J57</f>
        <v>0.77</v>
      </c>
      <c r="S57" s="17" t="n">
        <f aca="false">K57</f>
        <v>0.23</v>
      </c>
      <c r="T57" s="17" t="n">
        <f aca="false">L57</f>
        <v>0</v>
      </c>
      <c r="U57" s="17" t="n">
        <f aca="false">M57</f>
        <v>0</v>
      </c>
      <c r="V57" s="78" t="n">
        <f aca="false">CHOOSE(WeightIdx,F57,J57,N57,R57)</f>
        <v>0.77</v>
      </c>
      <c r="W57" s="78" t="n">
        <f aca="false">CHOOSE(WeightIdx,G57,K57,O57,S57)</f>
        <v>0.23</v>
      </c>
      <c r="X57" s="78" t="n">
        <f aca="false">CHOOSE(WeightIdx,H57,L57,P57,T57)</f>
        <v>0</v>
      </c>
      <c r="Y57" s="78" t="n">
        <f aca="false">CHOOSE(WeightIdx,I57,M57,Q57,U57)</f>
        <v>0</v>
      </c>
      <c r="Z57" s="17" t="n">
        <f aca="false">SUM(V57:Y57)</f>
        <v>1</v>
      </c>
      <c r="AA57" s="16" t="n">
        <f aca="false">25-SUMPRODUCT(MAX((Engine!$D134:$AA134&lt;&gt;"")*(25-Engine!$D$7:$AA$7)))</f>
        <v>1</v>
      </c>
      <c r="AB57" s="16" t="n">
        <f aca="false">SUMPRODUCT(MAX((Engine!$D134:$AA134&lt;&gt;"")*Engine!$D$7:$AA$7))</f>
        <v>1</v>
      </c>
    </row>
    <row r="58" customFormat="false" ht="15" hidden="false" customHeight="false" outlineLevel="0" collapsed="false">
      <c r="A58" s="16" t="n">
        <v>53</v>
      </c>
      <c r="B58" s="75" t="s">
        <v>290</v>
      </c>
      <c r="C58" s="75" t="s">
        <v>216</v>
      </c>
      <c r="D58" s="76" t="s">
        <v>287</v>
      </c>
      <c r="E58" s="76" t="s">
        <v>268</v>
      </c>
      <c r="F58" s="77" t="n">
        <v>0.75</v>
      </c>
      <c r="G58" s="77" t="n">
        <v>0.25</v>
      </c>
      <c r="H58" s="77" t="n">
        <v>0</v>
      </c>
      <c r="I58" s="77" t="n">
        <v>0</v>
      </c>
      <c r="J58" s="77" t="n">
        <v>0.7</v>
      </c>
      <c r="K58" s="77" t="n">
        <v>0.3</v>
      </c>
      <c r="L58" s="77" t="n">
        <v>0</v>
      </c>
      <c r="M58" s="77" t="n">
        <v>0</v>
      </c>
      <c r="N58" s="77" t="n">
        <v>1</v>
      </c>
      <c r="O58" s="77" t="n">
        <v>0</v>
      </c>
      <c r="P58" s="77" t="n">
        <v>0</v>
      </c>
      <c r="Q58" s="77" t="n">
        <v>0</v>
      </c>
      <c r="R58" s="17" t="n">
        <f aca="false">J58</f>
        <v>0.7</v>
      </c>
      <c r="S58" s="17" t="n">
        <f aca="false">K58</f>
        <v>0.3</v>
      </c>
      <c r="T58" s="17" t="n">
        <f aca="false">L58</f>
        <v>0</v>
      </c>
      <c r="U58" s="17" t="n">
        <f aca="false">M58</f>
        <v>0</v>
      </c>
      <c r="V58" s="78" t="n">
        <f aca="false">CHOOSE(WeightIdx,F58,J58,N58,R58)</f>
        <v>0.7</v>
      </c>
      <c r="W58" s="78" t="n">
        <f aca="false">CHOOSE(WeightIdx,G58,K58,O58,S58)</f>
        <v>0.3</v>
      </c>
      <c r="X58" s="78" t="n">
        <f aca="false">CHOOSE(WeightIdx,H58,L58,P58,T58)</f>
        <v>0</v>
      </c>
      <c r="Y58" s="78" t="n">
        <f aca="false">CHOOSE(WeightIdx,I58,M58,Q58,U58)</f>
        <v>0</v>
      </c>
      <c r="Z58" s="17" t="n">
        <f aca="false">SUM(V58:Y58)</f>
        <v>1</v>
      </c>
      <c r="AA58" s="16" t="n">
        <f aca="false">25-SUMPRODUCT(MAX((Engine!$D135:$AA135&lt;&gt;"")*(25-Engine!$D$7:$AA$7)))</f>
        <v>1</v>
      </c>
      <c r="AB58" s="16" t="n">
        <f aca="false">SUMPRODUCT(MAX((Engine!$D135:$AA135&lt;&gt;"")*Engine!$D$7:$AA$7))</f>
        <v>1</v>
      </c>
    </row>
    <row r="59" customFormat="false" ht="15" hidden="false" customHeight="false" outlineLevel="0" collapsed="false">
      <c r="A59" s="16" t="n">
        <v>54</v>
      </c>
      <c r="B59" s="75" t="s">
        <v>170</v>
      </c>
      <c r="C59" s="75" t="s">
        <v>216</v>
      </c>
      <c r="D59" s="76" t="s">
        <v>287</v>
      </c>
      <c r="E59" s="76" t="s">
        <v>268</v>
      </c>
      <c r="F59" s="77" t="n">
        <v>0.75</v>
      </c>
      <c r="G59" s="77" t="n">
        <v>0.25</v>
      </c>
      <c r="H59" s="77" t="n">
        <v>0</v>
      </c>
      <c r="I59" s="77" t="n">
        <v>0</v>
      </c>
      <c r="J59" s="77" t="n">
        <v>0.7</v>
      </c>
      <c r="K59" s="77" t="n">
        <v>0.3</v>
      </c>
      <c r="L59" s="77" t="n">
        <v>0</v>
      </c>
      <c r="M59" s="77" t="n">
        <v>0</v>
      </c>
      <c r="N59" s="77" t="n">
        <v>0.7</v>
      </c>
      <c r="O59" s="77" t="n">
        <v>0.3</v>
      </c>
      <c r="P59" s="77" t="n">
        <v>0</v>
      </c>
      <c r="Q59" s="77" t="n">
        <v>0</v>
      </c>
      <c r="R59" s="17" t="n">
        <f aca="false">J59</f>
        <v>0.7</v>
      </c>
      <c r="S59" s="17" t="n">
        <f aca="false">K59</f>
        <v>0.3</v>
      </c>
      <c r="T59" s="17" t="n">
        <f aca="false">L59</f>
        <v>0</v>
      </c>
      <c r="U59" s="17" t="n">
        <f aca="false">M59</f>
        <v>0</v>
      </c>
      <c r="V59" s="78" t="n">
        <f aca="false">CHOOSE(WeightIdx,F59,J59,N59,R59)</f>
        <v>0.7</v>
      </c>
      <c r="W59" s="78" t="n">
        <f aca="false">CHOOSE(WeightIdx,G59,K59,O59,S59)</f>
        <v>0.3</v>
      </c>
      <c r="X59" s="78" t="n">
        <f aca="false">CHOOSE(WeightIdx,H59,L59,P59,T59)</f>
        <v>0</v>
      </c>
      <c r="Y59" s="78" t="n">
        <f aca="false">CHOOSE(WeightIdx,I59,M59,Q59,U59)</f>
        <v>0</v>
      </c>
      <c r="Z59" s="17" t="n">
        <f aca="false">SUM(V59:Y59)</f>
        <v>1</v>
      </c>
      <c r="AA59" s="16" t="n">
        <f aca="false">25-SUMPRODUCT(MAX((Engine!$D136:$AA136&lt;&gt;"")*(25-Engine!$D$7:$AA$7)))</f>
        <v>1</v>
      </c>
      <c r="AB59" s="16" t="n">
        <f aca="false">SUMPRODUCT(MAX((Engine!$D136:$AA136&lt;&gt;"")*Engine!$D$7:$AA$7))</f>
        <v>1</v>
      </c>
    </row>
    <row r="60" customFormat="false" ht="15" hidden="false" customHeight="false" outlineLevel="0" collapsed="false">
      <c r="A60" s="16" t="n">
        <v>55</v>
      </c>
      <c r="B60" s="75" t="s">
        <v>291</v>
      </c>
      <c r="C60" s="75" t="s">
        <v>217</v>
      </c>
      <c r="D60" s="76" t="s">
        <v>287</v>
      </c>
      <c r="E60" s="76" t="s">
        <v>268</v>
      </c>
      <c r="F60" s="77" t="n">
        <v>0.7</v>
      </c>
      <c r="G60" s="77" t="n">
        <v>0.3</v>
      </c>
      <c r="H60" s="77" t="n">
        <v>0</v>
      </c>
      <c r="I60" s="77" t="n">
        <v>0</v>
      </c>
      <c r="J60" s="77" t="n">
        <v>0.7</v>
      </c>
      <c r="K60" s="77" t="n">
        <v>0.3</v>
      </c>
      <c r="L60" s="77" t="n">
        <v>0</v>
      </c>
      <c r="M60" s="77" t="n">
        <v>0</v>
      </c>
      <c r="N60" s="77" t="n">
        <v>0.7</v>
      </c>
      <c r="O60" s="77" t="n">
        <v>0.3</v>
      </c>
      <c r="P60" s="77" t="n">
        <v>0</v>
      </c>
      <c r="Q60" s="77" t="n">
        <v>0</v>
      </c>
      <c r="R60" s="17" t="n">
        <f aca="false">J60</f>
        <v>0.7</v>
      </c>
      <c r="S60" s="17" t="n">
        <f aca="false">K60</f>
        <v>0.3</v>
      </c>
      <c r="T60" s="17" t="n">
        <f aca="false">L60</f>
        <v>0</v>
      </c>
      <c r="U60" s="17" t="n">
        <f aca="false">M60</f>
        <v>0</v>
      </c>
      <c r="V60" s="78" t="n">
        <f aca="false">CHOOSE(WeightIdx,F60,J60,N60,R60)</f>
        <v>0.7</v>
      </c>
      <c r="W60" s="78" t="n">
        <f aca="false">CHOOSE(WeightIdx,G60,K60,O60,S60)</f>
        <v>0.3</v>
      </c>
      <c r="X60" s="78" t="n">
        <f aca="false">CHOOSE(WeightIdx,H60,L60,P60,T60)</f>
        <v>0</v>
      </c>
      <c r="Y60" s="78" t="n">
        <f aca="false">CHOOSE(WeightIdx,I60,M60,Q60,U60)</f>
        <v>0</v>
      </c>
      <c r="Z60" s="17" t="n">
        <f aca="false">SUM(V60:Y60)</f>
        <v>1</v>
      </c>
      <c r="AA60" s="16" t="n">
        <f aca="false">25-SUMPRODUCT(MAX((Engine!$D137:$AA137&lt;&gt;"")*(25-Engine!$D$7:$AA$7)))</f>
        <v>1</v>
      </c>
      <c r="AB60" s="16" t="n">
        <f aca="false">SUMPRODUCT(MAX((Engine!$D137:$AA137&lt;&gt;"")*Engine!$D$7:$AA$7))</f>
        <v>1</v>
      </c>
    </row>
    <row r="61" customFormat="false" ht="15" hidden="false" customHeight="false" outlineLevel="0" collapsed="false">
      <c r="A61" s="16" t="n">
        <v>56</v>
      </c>
      <c r="B61" s="75" t="s">
        <v>292</v>
      </c>
      <c r="C61" s="75" t="s">
        <v>217</v>
      </c>
      <c r="D61" s="76" t="s">
        <v>287</v>
      </c>
      <c r="E61" s="76" t="s">
        <v>268</v>
      </c>
      <c r="F61" s="77" t="n">
        <v>1</v>
      </c>
      <c r="G61" s="77" t="n">
        <v>0</v>
      </c>
      <c r="H61" s="77" t="n">
        <v>0</v>
      </c>
      <c r="I61" s="77" t="n">
        <v>0</v>
      </c>
      <c r="J61" s="77" t="n">
        <v>1</v>
      </c>
      <c r="K61" s="77" t="n">
        <v>0</v>
      </c>
      <c r="L61" s="77" t="n">
        <v>0</v>
      </c>
      <c r="M61" s="77" t="n">
        <v>0</v>
      </c>
      <c r="N61" s="77" t="n">
        <v>1</v>
      </c>
      <c r="O61" s="77" t="n">
        <v>0</v>
      </c>
      <c r="P61" s="77" t="n">
        <v>0</v>
      </c>
      <c r="Q61" s="77" t="n">
        <v>0</v>
      </c>
      <c r="R61" s="17" t="n">
        <f aca="false">J61</f>
        <v>1</v>
      </c>
      <c r="S61" s="17" t="n">
        <f aca="false">K61</f>
        <v>0</v>
      </c>
      <c r="T61" s="17" t="n">
        <f aca="false">L61</f>
        <v>0</v>
      </c>
      <c r="U61" s="17" t="n">
        <f aca="false">M61</f>
        <v>0</v>
      </c>
      <c r="V61" s="78" t="n">
        <f aca="false">CHOOSE(WeightIdx,F61,J61,N61,R61)</f>
        <v>1</v>
      </c>
      <c r="W61" s="78" t="n">
        <f aca="false">CHOOSE(WeightIdx,G61,K61,O61,S61)</f>
        <v>0</v>
      </c>
      <c r="X61" s="78" t="n">
        <f aca="false">CHOOSE(WeightIdx,H61,L61,P61,T61)</f>
        <v>0</v>
      </c>
      <c r="Y61" s="78" t="n">
        <f aca="false">CHOOSE(WeightIdx,I61,M61,Q61,U61)</f>
        <v>0</v>
      </c>
      <c r="Z61" s="17" t="n">
        <f aca="false">SUM(V61:Y61)</f>
        <v>1</v>
      </c>
      <c r="AA61" s="16" t="n">
        <f aca="false">25-SUMPRODUCT(MAX((Engine!$D138:$AA138&lt;&gt;"")*(25-Engine!$D$7:$AA$7)))</f>
        <v>1</v>
      </c>
      <c r="AB61" s="16" t="n">
        <f aca="false">SUMPRODUCT(MAX((Engine!$D138:$AA138&lt;&gt;"")*Engine!$D$7:$AA$7))</f>
        <v>1</v>
      </c>
    </row>
    <row r="62" customFormat="false" ht="15" hidden="false" customHeight="false" outlineLevel="0" collapsed="false">
      <c r="A62" s="16" t="n">
        <v>57</v>
      </c>
      <c r="B62" s="75" t="s">
        <v>168</v>
      </c>
      <c r="C62" s="75" t="s">
        <v>217</v>
      </c>
      <c r="D62" s="76" t="s">
        <v>287</v>
      </c>
      <c r="E62" s="76" t="s">
        <v>268</v>
      </c>
      <c r="F62" s="77" t="n">
        <v>0.77</v>
      </c>
      <c r="G62" s="77" t="n">
        <v>0.23</v>
      </c>
      <c r="H62" s="77" t="n">
        <v>0</v>
      </c>
      <c r="I62" s="77" t="n">
        <v>0</v>
      </c>
      <c r="J62" s="77" t="n">
        <v>0.77</v>
      </c>
      <c r="K62" s="77" t="n">
        <v>0.23</v>
      </c>
      <c r="L62" s="77" t="n">
        <v>0</v>
      </c>
      <c r="M62" s="77" t="n">
        <v>0</v>
      </c>
      <c r="N62" s="77" t="n">
        <v>0.77</v>
      </c>
      <c r="O62" s="77" t="n">
        <v>0.23</v>
      </c>
      <c r="P62" s="77" t="n">
        <v>0</v>
      </c>
      <c r="Q62" s="77" t="n">
        <v>0</v>
      </c>
      <c r="R62" s="17" t="n">
        <f aca="false">J62</f>
        <v>0.77</v>
      </c>
      <c r="S62" s="17" t="n">
        <f aca="false">K62</f>
        <v>0.23</v>
      </c>
      <c r="T62" s="17" t="n">
        <f aca="false">L62</f>
        <v>0</v>
      </c>
      <c r="U62" s="17" t="n">
        <f aca="false">M62</f>
        <v>0</v>
      </c>
      <c r="V62" s="78" t="n">
        <f aca="false">CHOOSE(WeightIdx,F62,J62,N62,R62)</f>
        <v>0.77</v>
      </c>
      <c r="W62" s="78" t="n">
        <f aca="false">CHOOSE(WeightIdx,G62,K62,O62,S62)</f>
        <v>0.23</v>
      </c>
      <c r="X62" s="78" t="n">
        <f aca="false">CHOOSE(WeightIdx,H62,L62,P62,T62)</f>
        <v>0</v>
      </c>
      <c r="Y62" s="78" t="n">
        <f aca="false">CHOOSE(WeightIdx,I62,M62,Q62,U62)</f>
        <v>0</v>
      </c>
      <c r="Z62" s="17" t="n">
        <f aca="false">SUM(V62:Y62)</f>
        <v>1</v>
      </c>
      <c r="AA62" s="16" t="n">
        <f aca="false">25-SUMPRODUCT(MAX((Engine!$D139:$AA139&lt;&gt;"")*(25-Engine!$D$7:$AA$7)))</f>
        <v>1</v>
      </c>
      <c r="AB62" s="16" t="n">
        <f aca="false">SUMPRODUCT(MAX((Engine!$D139:$AA139&lt;&gt;"")*Engine!$D$7:$AA$7))</f>
        <v>1</v>
      </c>
    </row>
    <row r="63" customFormat="false" ht="15" hidden="false" customHeight="false" outlineLevel="0" collapsed="false">
      <c r="A63" s="16" t="n">
        <v>58</v>
      </c>
      <c r="B63" s="75" t="s">
        <v>293</v>
      </c>
      <c r="C63" s="75" t="s">
        <v>217</v>
      </c>
      <c r="D63" s="76" t="s">
        <v>287</v>
      </c>
      <c r="E63" s="76" t="s">
        <v>268</v>
      </c>
      <c r="F63" s="77" t="n">
        <v>1</v>
      </c>
      <c r="G63" s="77" t="n">
        <v>0</v>
      </c>
      <c r="H63" s="77" t="n">
        <v>0</v>
      </c>
      <c r="I63" s="77" t="n">
        <v>0</v>
      </c>
      <c r="J63" s="77" t="n">
        <v>1</v>
      </c>
      <c r="K63" s="77" t="n">
        <v>0</v>
      </c>
      <c r="L63" s="77" t="n">
        <v>0</v>
      </c>
      <c r="M63" s="77" t="n">
        <v>0</v>
      </c>
      <c r="N63" s="77" t="n">
        <v>1</v>
      </c>
      <c r="O63" s="77" t="n">
        <v>0</v>
      </c>
      <c r="P63" s="77" t="n">
        <v>0</v>
      </c>
      <c r="Q63" s="77" t="n">
        <v>0</v>
      </c>
      <c r="R63" s="17" t="n">
        <f aca="false">J63</f>
        <v>1</v>
      </c>
      <c r="S63" s="17" t="n">
        <f aca="false">K63</f>
        <v>0</v>
      </c>
      <c r="T63" s="17" t="n">
        <f aca="false">L63</f>
        <v>0</v>
      </c>
      <c r="U63" s="17" t="n">
        <f aca="false">M63</f>
        <v>0</v>
      </c>
      <c r="V63" s="78" t="n">
        <f aca="false">CHOOSE(WeightIdx,F63,J63,N63,R63)</f>
        <v>1</v>
      </c>
      <c r="W63" s="78" t="n">
        <f aca="false">CHOOSE(WeightIdx,G63,K63,O63,S63)</f>
        <v>0</v>
      </c>
      <c r="X63" s="78" t="n">
        <f aca="false">CHOOSE(WeightIdx,H63,L63,P63,T63)</f>
        <v>0</v>
      </c>
      <c r="Y63" s="78" t="n">
        <f aca="false">CHOOSE(WeightIdx,I63,M63,Q63,U63)</f>
        <v>0</v>
      </c>
      <c r="Z63" s="17" t="n">
        <f aca="false">SUM(V63:Y63)</f>
        <v>1</v>
      </c>
      <c r="AA63" s="16" t="n">
        <f aca="false">25-SUMPRODUCT(MAX((Engine!$D140:$AA140&lt;&gt;"")*(25-Engine!$D$7:$AA$7)))</f>
        <v>1</v>
      </c>
      <c r="AB63" s="16" t="n">
        <f aca="false">SUMPRODUCT(MAX((Engine!$D140:$AA140&lt;&gt;"")*Engine!$D$7:$AA$7))</f>
        <v>1</v>
      </c>
    </row>
    <row r="64" customFormat="false" ht="15" hidden="false" customHeight="false" outlineLevel="0" collapsed="false">
      <c r="A64" s="16" t="n">
        <v>59</v>
      </c>
      <c r="B64" s="75" t="s">
        <v>294</v>
      </c>
      <c r="C64" s="75" t="s">
        <v>217</v>
      </c>
      <c r="D64" s="76" t="s">
        <v>287</v>
      </c>
      <c r="E64" s="76" t="s">
        <v>268</v>
      </c>
      <c r="F64" s="77" t="n">
        <v>0.75</v>
      </c>
      <c r="G64" s="77" t="n">
        <v>0.25</v>
      </c>
      <c r="H64" s="77" t="n">
        <v>0</v>
      </c>
      <c r="I64" s="77" t="n">
        <v>0</v>
      </c>
      <c r="J64" s="77" t="n">
        <v>0.75</v>
      </c>
      <c r="K64" s="77" t="n">
        <v>0.25</v>
      </c>
      <c r="L64" s="77" t="n">
        <v>0</v>
      </c>
      <c r="M64" s="77" t="n">
        <v>0</v>
      </c>
      <c r="N64" s="77" t="n">
        <v>0.75</v>
      </c>
      <c r="O64" s="77" t="n">
        <v>0.25</v>
      </c>
      <c r="P64" s="77" t="n">
        <v>0</v>
      </c>
      <c r="Q64" s="77" t="n">
        <v>0</v>
      </c>
      <c r="R64" s="17" t="n">
        <f aca="false">J64</f>
        <v>0.75</v>
      </c>
      <c r="S64" s="17" t="n">
        <f aca="false">K64</f>
        <v>0.25</v>
      </c>
      <c r="T64" s="17" t="n">
        <f aca="false">L64</f>
        <v>0</v>
      </c>
      <c r="U64" s="17" t="n">
        <f aca="false">M64</f>
        <v>0</v>
      </c>
      <c r="V64" s="78" t="n">
        <f aca="false">CHOOSE(WeightIdx,F64,J64,N64,R64)</f>
        <v>0.75</v>
      </c>
      <c r="W64" s="78" t="n">
        <f aca="false">CHOOSE(WeightIdx,G64,K64,O64,S64)</f>
        <v>0.25</v>
      </c>
      <c r="X64" s="78" t="n">
        <f aca="false">CHOOSE(WeightIdx,H64,L64,P64,T64)</f>
        <v>0</v>
      </c>
      <c r="Y64" s="78" t="n">
        <f aca="false">CHOOSE(WeightIdx,I64,M64,Q64,U64)</f>
        <v>0</v>
      </c>
      <c r="Z64" s="17" t="n">
        <f aca="false">SUM(V64:Y64)</f>
        <v>1</v>
      </c>
      <c r="AA64" s="16" t="n">
        <f aca="false">25-SUMPRODUCT(MAX((Engine!$D141:$AA141&lt;&gt;"")*(25-Engine!$D$7:$AA$7)))</f>
        <v>1</v>
      </c>
      <c r="AB64" s="16" t="n">
        <f aca="false">SUMPRODUCT(MAX((Engine!$D141:$AA141&lt;&gt;"")*Engine!$D$7:$AA$7))</f>
        <v>1</v>
      </c>
    </row>
    <row r="65" customFormat="false" ht="15" hidden="false" customHeight="false" outlineLevel="0" collapsed="false">
      <c r="A65" s="16" t="n">
        <v>60</v>
      </c>
      <c r="B65" s="75" t="s">
        <v>295</v>
      </c>
      <c r="C65" s="75" t="s">
        <v>217</v>
      </c>
      <c r="D65" s="76" t="s">
        <v>287</v>
      </c>
      <c r="E65" s="76" t="s">
        <v>268</v>
      </c>
      <c r="F65" s="77" t="n">
        <v>1</v>
      </c>
      <c r="G65" s="77" t="n">
        <v>0</v>
      </c>
      <c r="H65" s="77" t="n">
        <v>0</v>
      </c>
      <c r="I65" s="77" t="n">
        <v>0</v>
      </c>
      <c r="J65" s="77" t="n">
        <v>1</v>
      </c>
      <c r="K65" s="77" t="n">
        <v>0</v>
      </c>
      <c r="L65" s="77" t="n">
        <v>0</v>
      </c>
      <c r="M65" s="77" t="n">
        <v>0</v>
      </c>
      <c r="N65" s="77" t="n">
        <v>1</v>
      </c>
      <c r="O65" s="77" t="n">
        <v>0</v>
      </c>
      <c r="P65" s="77" t="n">
        <v>0</v>
      </c>
      <c r="Q65" s="77" t="n">
        <v>0</v>
      </c>
      <c r="R65" s="17" t="n">
        <f aca="false">J65</f>
        <v>1</v>
      </c>
      <c r="S65" s="17" t="n">
        <f aca="false">K65</f>
        <v>0</v>
      </c>
      <c r="T65" s="17" t="n">
        <f aca="false">L65</f>
        <v>0</v>
      </c>
      <c r="U65" s="17" t="n">
        <f aca="false">M65</f>
        <v>0</v>
      </c>
      <c r="V65" s="78" t="n">
        <f aca="false">CHOOSE(WeightIdx,F65,J65,N65,R65)</f>
        <v>1</v>
      </c>
      <c r="W65" s="78" t="n">
        <f aca="false">CHOOSE(WeightIdx,G65,K65,O65,S65)</f>
        <v>0</v>
      </c>
      <c r="X65" s="78" t="n">
        <f aca="false">CHOOSE(WeightIdx,H65,L65,P65,T65)</f>
        <v>0</v>
      </c>
      <c r="Y65" s="78" t="n">
        <f aca="false">CHOOSE(WeightIdx,I65,M65,Q65,U65)</f>
        <v>0</v>
      </c>
      <c r="Z65" s="17" t="n">
        <f aca="false">SUM(V65:Y65)</f>
        <v>1</v>
      </c>
      <c r="AA65" s="16" t="n">
        <f aca="false">25-SUMPRODUCT(MAX((Engine!$D142:$AA142&lt;&gt;"")*(25-Engine!$D$7:$AA$7)))</f>
        <v>1</v>
      </c>
      <c r="AB65" s="16" t="n">
        <f aca="false">SUMPRODUCT(MAX((Engine!$D142:$AA142&lt;&gt;"")*Engine!$D$7:$AA$7))</f>
        <v>1</v>
      </c>
    </row>
    <row r="66" customFormat="false" ht="15" hidden="false" customHeight="false" outlineLevel="0" collapsed="false">
      <c r="A66" s="16" t="n">
        <v>61</v>
      </c>
      <c r="B66" s="75" t="s">
        <v>296</v>
      </c>
      <c r="C66" s="75" t="s">
        <v>218</v>
      </c>
      <c r="D66" s="76" t="s">
        <v>287</v>
      </c>
      <c r="E66" s="76" t="s">
        <v>268</v>
      </c>
      <c r="F66" s="77" t="n">
        <v>0.75</v>
      </c>
      <c r="G66" s="77" t="n">
        <v>0.25</v>
      </c>
      <c r="H66" s="77" t="n">
        <v>0</v>
      </c>
      <c r="I66" s="77" t="n">
        <v>0</v>
      </c>
      <c r="J66" s="77" t="n">
        <v>0.78</v>
      </c>
      <c r="K66" s="77" t="n">
        <v>0.22</v>
      </c>
      <c r="L66" s="77" t="n">
        <v>0</v>
      </c>
      <c r="M66" s="77" t="n">
        <v>0</v>
      </c>
      <c r="N66" s="77" t="n">
        <v>0.8</v>
      </c>
      <c r="O66" s="77" t="n">
        <v>0.2</v>
      </c>
      <c r="P66" s="77" t="n">
        <v>0</v>
      </c>
      <c r="Q66" s="77" t="n">
        <v>0</v>
      </c>
      <c r="R66" s="17" t="n">
        <f aca="false">J66</f>
        <v>0.78</v>
      </c>
      <c r="S66" s="17" t="n">
        <f aca="false">K66</f>
        <v>0.22</v>
      </c>
      <c r="T66" s="17" t="n">
        <f aca="false">L66</f>
        <v>0</v>
      </c>
      <c r="U66" s="17" t="n">
        <f aca="false">M66</f>
        <v>0</v>
      </c>
      <c r="V66" s="78" t="n">
        <f aca="false">CHOOSE(WeightIdx,F66,J66,N66,R66)</f>
        <v>0.78</v>
      </c>
      <c r="W66" s="78" t="n">
        <f aca="false">CHOOSE(WeightIdx,G66,K66,O66,S66)</f>
        <v>0.22</v>
      </c>
      <c r="X66" s="78" t="n">
        <f aca="false">CHOOSE(WeightIdx,H66,L66,P66,T66)</f>
        <v>0</v>
      </c>
      <c r="Y66" s="78" t="n">
        <f aca="false">CHOOSE(WeightIdx,I66,M66,Q66,U66)</f>
        <v>0</v>
      </c>
      <c r="Z66" s="17" t="n">
        <f aca="false">SUM(V66:Y66)</f>
        <v>1</v>
      </c>
      <c r="AA66" s="16" t="n">
        <f aca="false">25-SUMPRODUCT(MAX((Engine!$D143:$AA143&lt;&gt;"")*(25-Engine!$D$7:$AA$7)))</f>
        <v>1</v>
      </c>
      <c r="AB66" s="16" t="n">
        <f aca="false">SUMPRODUCT(MAX((Engine!$D143:$AA143&lt;&gt;"")*Engine!$D$7:$AA$7))</f>
        <v>1</v>
      </c>
    </row>
    <row r="67" customFormat="false" ht="15" hidden="false" customHeight="false" outlineLevel="0" collapsed="false">
      <c r="A67" s="16" t="n">
        <v>62</v>
      </c>
      <c r="B67" s="75" t="s">
        <v>297</v>
      </c>
      <c r="C67" s="75" t="s">
        <v>218</v>
      </c>
      <c r="D67" s="76" t="s">
        <v>287</v>
      </c>
      <c r="E67" s="76" t="s">
        <v>268</v>
      </c>
      <c r="F67" s="77" t="n">
        <v>0.75</v>
      </c>
      <c r="G67" s="77" t="n">
        <v>0.25</v>
      </c>
      <c r="H67" s="77" t="n">
        <v>0</v>
      </c>
      <c r="I67" s="77" t="n">
        <v>0</v>
      </c>
      <c r="J67" s="77" t="n">
        <v>0.78</v>
      </c>
      <c r="K67" s="77" t="n">
        <v>0.22</v>
      </c>
      <c r="L67" s="77" t="n">
        <v>0</v>
      </c>
      <c r="M67" s="77" t="n">
        <v>0</v>
      </c>
      <c r="N67" s="77" t="n">
        <v>0.8</v>
      </c>
      <c r="O67" s="77" t="n">
        <v>0.2</v>
      </c>
      <c r="P67" s="77" t="n">
        <v>0</v>
      </c>
      <c r="Q67" s="77" t="n">
        <v>0</v>
      </c>
      <c r="R67" s="17" t="n">
        <f aca="false">J67</f>
        <v>0.78</v>
      </c>
      <c r="S67" s="17" t="n">
        <f aca="false">K67</f>
        <v>0.22</v>
      </c>
      <c r="T67" s="17" t="n">
        <f aca="false">L67</f>
        <v>0</v>
      </c>
      <c r="U67" s="17" t="n">
        <f aca="false">M67</f>
        <v>0</v>
      </c>
      <c r="V67" s="78" t="n">
        <f aca="false">CHOOSE(WeightIdx,F67,J67,N67,R67)</f>
        <v>0.78</v>
      </c>
      <c r="W67" s="78" t="n">
        <f aca="false">CHOOSE(WeightIdx,G67,K67,O67,S67)</f>
        <v>0.22</v>
      </c>
      <c r="X67" s="78" t="n">
        <f aca="false">CHOOSE(WeightIdx,H67,L67,P67,T67)</f>
        <v>0</v>
      </c>
      <c r="Y67" s="78" t="n">
        <f aca="false">CHOOSE(WeightIdx,I67,M67,Q67,U67)</f>
        <v>0</v>
      </c>
      <c r="Z67" s="17" t="n">
        <f aca="false">SUM(V67:Y67)</f>
        <v>1</v>
      </c>
      <c r="AA67" s="16" t="n">
        <f aca="false">25-SUMPRODUCT(MAX((Engine!$D144:$AA144&lt;&gt;"")*(25-Engine!$D$7:$AA$7)))</f>
        <v>1</v>
      </c>
      <c r="AB67" s="16" t="n">
        <f aca="false">SUMPRODUCT(MAX((Engine!$D144:$AA144&lt;&gt;"")*Engine!$D$7:$AA$7))</f>
        <v>1</v>
      </c>
    </row>
    <row r="68" customFormat="false" ht="15" hidden="false" customHeight="false" outlineLevel="0" collapsed="false">
      <c r="A68" s="16" t="n">
        <v>63</v>
      </c>
      <c r="B68" s="75" t="s">
        <v>298</v>
      </c>
      <c r="C68" s="75" t="s">
        <v>218</v>
      </c>
      <c r="D68" s="76" t="s">
        <v>287</v>
      </c>
      <c r="E68" s="76" t="s">
        <v>268</v>
      </c>
      <c r="F68" s="77" t="n">
        <v>0.75</v>
      </c>
      <c r="G68" s="77" t="n">
        <v>0.25</v>
      </c>
      <c r="H68" s="77" t="n">
        <v>0</v>
      </c>
      <c r="I68" s="77" t="n">
        <v>0</v>
      </c>
      <c r="J68" s="77" t="n">
        <v>0.78</v>
      </c>
      <c r="K68" s="77" t="n">
        <v>0.22</v>
      </c>
      <c r="L68" s="77" t="n">
        <v>0</v>
      </c>
      <c r="M68" s="77" t="n">
        <v>0</v>
      </c>
      <c r="N68" s="77" t="n">
        <v>0.8</v>
      </c>
      <c r="O68" s="77" t="n">
        <v>0.2</v>
      </c>
      <c r="P68" s="77" t="n">
        <v>0</v>
      </c>
      <c r="Q68" s="77" t="n">
        <v>0</v>
      </c>
      <c r="R68" s="17" t="n">
        <f aca="false">J68</f>
        <v>0.78</v>
      </c>
      <c r="S68" s="17" t="n">
        <f aca="false">K68</f>
        <v>0.22</v>
      </c>
      <c r="T68" s="17" t="n">
        <f aca="false">L68</f>
        <v>0</v>
      </c>
      <c r="U68" s="17" t="n">
        <f aca="false">M68</f>
        <v>0</v>
      </c>
      <c r="V68" s="78" t="n">
        <f aca="false">CHOOSE(WeightIdx,F68,J68,N68,R68)</f>
        <v>0.78</v>
      </c>
      <c r="W68" s="78" t="n">
        <f aca="false">CHOOSE(WeightIdx,G68,K68,O68,S68)</f>
        <v>0.22</v>
      </c>
      <c r="X68" s="78" t="n">
        <f aca="false">CHOOSE(WeightIdx,H68,L68,P68,T68)</f>
        <v>0</v>
      </c>
      <c r="Y68" s="78" t="n">
        <f aca="false">CHOOSE(WeightIdx,I68,M68,Q68,U68)</f>
        <v>0</v>
      </c>
      <c r="Z68" s="17" t="n">
        <f aca="false">SUM(V68:Y68)</f>
        <v>1</v>
      </c>
      <c r="AA68" s="16" t="n">
        <f aca="false">25-SUMPRODUCT(MAX((Engine!$D145:$AA145&lt;&gt;"")*(25-Engine!$D$7:$AA$7)))</f>
        <v>1</v>
      </c>
      <c r="AB68" s="16" t="n">
        <f aca="false">SUMPRODUCT(MAX((Engine!$D145:$AA145&lt;&gt;"")*Engine!$D$7:$AA$7))</f>
        <v>1</v>
      </c>
    </row>
    <row r="69" customFormat="false" ht="15" hidden="false" customHeight="false" outlineLevel="0" collapsed="false">
      <c r="A69" s="16" t="n">
        <v>64</v>
      </c>
      <c r="B69" s="75" t="s">
        <v>299</v>
      </c>
      <c r="C69" s="75" t="s">
        <v>218</v>
      </c>
      <c r="D69" s="76" t="s">
        <v>287</v>
      </c>
      <c r="E69" s="76" t="s">
        <v>268</v>
      </c>
      <c r="F69" s="77" t="n">
        <v>0.75</v>
      </c>
      <c r="G69" s="77" t="n">
        <v>0.25</v>
      </c>
      <c r="H69" s="77" t="n">
        <v>0</v>
      </c>
      <c r="I69" s="77" t="n">
        <v>0</v>
      </c>
      <c r="J69" s="77" t="n">
        <v>0.78</v>
      </c>
      <c r="K69" s="77" t="n">
        <v>0.22</v>
      </c>
      <c r="L69" s="77" t="n">
        <v>0</v>
      </c>
      <c r="M69" s="77" t="n">
        <v>0</v>
      </c>
      <c r="N69" s="77" t="n">
        <v>0.8</v>
      </c>
      <c r="O69" s="77" t="n">
        <v>0.2</v>
      </c>
      <c r="P69" s="77" t="n">
        <v>0</v>
      </c>
      <c r="Q69" s="77" t="n">
        <v>0</v>
      </c>
      <c r="R69" s="17" t="n">
        <f aca="false">J69</f>
        <v>0.78</v>
      </c>
      <c r="S69" s="17" t="n">
        <f aca="false">K69</f>
        <v>0.22</v>
      </c>
      <c r="T69" s="17" t="n">
        <f aca="false">L69</f>
        <v>0</v>
      </c>
      <c r="U69" s="17" t="n">
        <f aca="false">M69</f>
        <v>0</v>
      </c>
      <c r="V69" s="78" t="n">
        <f aca="false">CHOOSE(WeightIdx,F69,J69,N69,R69)</f>
        <v>0.78</v>
      </c>
      <c r="W69" s="78" t="n">
        <f aca="false">CHOOSE(WeightIdx,G69,K69,O69,S69)</f>
        <v>0.22</v>
      </c>
      <c r="X69" s="78" t="n">
        <f aca="false">CHOOSE(WeightIdx,H69,L69,P69,T69)</f>
        <v>0</v>
      </c>
      <c r="Y69" s="78" t="n">
        <f aca="false">CHOOSE(WeightIdx,I69,M69,Q69,U69)</f>
        <v>0</v>
      </c>
      <c r="Z69" s="17" t="n">
        <f aca="false">SUM(V69:Y69)</f>
        <v>1</v>
      </c>
      <c r="AA69" s="16" t="n">
        <f aca="false">25-SUMPRODUCT(MAX((Engine!$D146:$AA146&lt;&gt;"")*(25-Engine!$D$7:$AA$7)))</f>
        <v>1</v>
      </c>
      <c r="AB69" s="16" t="n">
        <f aca="false">SUMPRODUCT(MAX((Engine!$D146:$AA146&lt;&gt;"")*Engine!$D$7:$AA$7))</f>
        <v>1</v>
      </c>
    </row>
    <row r="70" customFormat="false" ht="15" hidden="false" customHeight="false" outlineLevel="0" collapsed="false">
      <c r="A70" s="16" t="n">
        <v>65</v>
      </c>
      <c r="B70" s="75" t="s">
        <v>300</v>
      </c>
      <c r="C70" s="75" t="s">
        <v>218</v>
      </c>
      <c r="D70" s="76" t="s">
        <v>287</v>
      </c>
      <c r="E70" s="76" t="s">
        <v>268</v>
      </c>
      <c r="F70" s="77" t="n">
        <v>0.75</v>
      </c>
      <c r="G70" s="77" t="n">
        <v>0.25</v>
      </c>
      <c r="H70" s="77" t="n">
        <v>0</v>
      </c>
      <c r="I70" s="77" t="n">
        <v>0</v>
      </c>
      <c r="J70" s="77" t="n">
        <v>0.78</v>
      </c>
      <c r="K70" s="77" t="n">
        <v>0.22</v>
      </c>
      <c r="L70" s="77" t="n">
        <v>0</v>
      </c>
      <c r="M70" s="77" t="n">
        <v>0</v>
      </c>
      <c r="N70" s="77" t="n">
        <v>0.8</v>
      </c>
      <c r="O70" s="77" t="n">
        <v>0.2</v>
      </c>
      <c r="P70" s="77" t="n">
        <v>0</v>
      </c>
      <c r="Q70" s="77" t="n">
        <v>0</v>
      </c>
      <c r="R70" s="17" t="n">
        <f aca="false">J70</f>
        <v>0.78</v>
      </c>
      <c r="S70" s="17" t="n">
        <f aca="false">K70</f>
        <v>0.22</v>
      </c>
      <c r="T70" s="17" t="n">
        <f aca="false">L70</f>
        <v>0</v>
      </c>
      <c r="U70" s="17" t="n">
        <f aca="false">M70</f>
        <v>0</v>
      </c>
      <c r="V70" s="78" t="n">
        <f aca="false">CHOOSE(WeightIdx,F70,J70,N70,R70)</f>
        <v>0.78</v>
      </c>
      <c r="W70" s="78" t="n">
        <f aca="false">CHOOSE(WeightIdx,G70,K70,O70,S70)</f>
        <v>0.22</v>
      </c>
      <c r="X70" s="78" t="n">
        <f aca="false">CHOOSE(WeightIdx,H70,L70,P70,T70)</f>
        <v>0</v>
      </c>
      <c r="Y70" s="78" t="n">
        <f aca="false">CHOOSE(WeightIdx,I70,M70,Q70,U70)</f>
        <v>0</v>
      </c>
      <c r="Z70" s="17" t="n">
        <f aca="false">SUM(V70:Y70)</f>
        <v>1</v>
      </c>
      <c r="AA70" s="16" t="n">
        <f aca="false">25-SUMPRODUCT(MAX((Engine!$D147:$AA147&lt;&gt;"")*(25-Engine!$D$7:$AA$7)))</f>
        <v>1</v>
      </c>
      <c r="AB70" s="16" t="n">
        <f aca="false">SUMPRODUCT(MAX((Engine!$D147:$AA147&lt;&gt;"")*Engine!$D$7:$AA$7))</f>
        <v>1</v>
      </c>
    </row>
    <row r="71" customFormat="false" ht="15" hidden="false" customHeight="false" outlineLevel="0" collapsed="false">
      <c r="A71" s="16" t="n">
        <v>66</v>
      </c>
      <c r="B71" s="75" t="s">
        <v>301</v>
      </c>
      <c r="C71" s="75" t="s">
        <v>218</v>
      </c>
      <c r="D71" s="76" t="s">
        <v>287</v>
      </c>
      <c r="E71" s="76" t="s">
        <v>268</v>
      </c>
      <c r="F71" s="77" t="n">
        <v>0.75</v>
      </c>
      <c r="G71" s="77" t="n">
        <v>0.25</v>
      </c>
      <c r="H71" s="77" t="n">
        <v>0</v>
      </c>
      <c r="I71" s="77" t="n">
        <v>0</v>
      </c>
      <c r="J71" s="77" t="n">
        <v>0.78</v>
      </c>
      <c r="K71" s="77" t="n">
        <v>0.22</v>
      </c>
      <c r="L71" s="77" t="n">
        <v>0</v>
      </c>
      <c r="M71" s="77" t="n">
        <v>0</v>
      </c>
      <c r="N71" s="77" t="n">
        <v>0.8</v>
      </c>
      <c r="O71" s="77" t="n">
        <v>0.2</v>
      </c>
      <c r="P71" s="77" t="n">
        <v>0</v>
      </c>
      <c r="Q71" s="77" t="n">
        <v>0</v>
      </c>
      <c r="R71" s="17" t="n">
        <f aca="false">J71</f>
        <v>0.78</v>
      </c>
      <c r="S71" s="17" t="n">
        <f aca="false">K71</f>
        <v>0.22</v>
      </c>
      <c r="T71" s="17" t="n">
        <f aca="false">L71</f>
        <v>0</v>
      </c>
      <c r="U71" s="17" t="n">
        <f aca="false">M71</f>
        <v>0</v>
      </c>
      <c r="V71" s="78" t="n">
        <f aca="false">CHOOSE(WeightIdx,F71,J71,N71,R71)</f>
        <v>0.78</v>
      </c>
      <c r="W71" s="78" t="n">
        <f aca="false">CHOOSE(WeightIdx,G71,K71,O71,S71)</f>
        <v>0.22</v>
      </c>
      <c r="X71" s="78" t="n">
        <f aca="false">CHOOSE(WeightIdx,H71,L71,P71,T71)</f>
        <v>0</v>
      </c>
      <c r="Y71" s="78" t="n">
        <f aca="false">CHOOSE(WeightIdx,I71,M71,Q71,U71)</f>
        <v>0</v>
      </c>
      <c r="Z71" s="17" t="n">
        <f aca="false">SUM(V71:Y71)</f>
        <v>1</v>
      </c>
      <c r="AA71" s="16" t="n">
        <f aca="false">25-SUMPRODUCT(MAX((Engine!$D148:$AA148&lt;&gt;"")*(25-Engine!$D$7:$AA$7)))</f>
        <v>1</v>
      </c>
      <c r="AB71" s="16" t="n">
        <f aca="false">SUMPRODUCT(MAX((Engine!$D148:$AA148&lt;&gt;"")*Engine!$D$7:$AA$7))</f>
        <v>1</v>
      </c>
    </row>
    <row r="72" customFormat="false" ht="15" hidden="false" customHeight="false" outlineLevel="0" collapsed="false">
      <c r="A72" s="16" t="n">
        <v>67</v>
      </c>
      <c r="B72" s="75" t="s">
        <v>302</v>
      </c>
      <c r="C72" s="75" t="s">
        <v>218</v>
      </c>
      <c r="D72" s="76" t="s">
        <v>287</v>
      </c>
      <c r="E72" s="76" t="s">
        <v>268</v>
      </c>
      <c r="F72" s="77" t="n">
        <v>0.75</v>
      </c>
      <c r="G72" s="77" t="n">
        <v>0.25</v>
      </c>
      <c r="H72" s="77" t="n">
        <v>0</v>
      </c>
      <c r="I72" s="77" t="n">
        <v>0</v>
      </c>
      <c r="J72" s="77" t="n">
        <v>0.78</v>
      </c>
      <c r="K72" s="77" t="n">
        <v>0.22</v>
      </c>
      <c r="L72" s="77" t="n">
        <v>0</v>
      </c>
      <c r="M72" s="77" t="n">
        <v>0</v>
      </c>
      <c r="N72" s="77" t="n">
        <v>0.8</v>
      </c>
      <c r="O72" s="77" t="n">
        <v>0.2</v>
      </c>
      <c r="P72" s="77" t="n">
        <v>0</v>
      </c>
      <c r="Q72" s="77" t="n">
        <v>0</v>
      </c>
      <c r="R72" s="17" t="n">
        <f aca="false">J72</f>
        <v>0.78</v>
      </c>
      <c r="S72" s="17" t="n">
        <f aca="false">K72</f>
        <v>0.22</v>
      </c>
      <c r="T72" s="17" t="n">
        <f aca="false">L72</f>
        <v>0</v>
      </c>
      <c r="U72" s="17" t="n">
        <f aca="false">M72</f>
        <v>0</v>
      </c>
      <c r="V72" s="78" t="n">
        <f aca="false">CHOOSE(WeightIdx,F72,J72,N72,R72)</f>
        <v>0.78</v>
      </c>
      <c r="W72" s="78" t="n">
        <f aca="false">CHOOSE(WeightIdx,G72,K72,O72,S72)</f>
        <v>0.22</v>
      </c>
      <c r="X72" s="78" t="n">
        <f aca="false">CHOOSE(WeightIdx,H72,L72,P72,T72)</f>
        <v>0</v>
      </c>
      <c r="Y72" s="78" t="n">
        <f aca="false">CHOOSE(WeightIdx,I72,M72,Q72,U72)</f>
        <v>0</v>
      </c>
      <c r="Z72" s="17" t="n">
        <f aca="false">SUM(V72:Y72)</f>
        <v>1</v>
      </c>
      <c r="AA72" s="16" t="n">
        <f aca="false">25-SUMPRODUCT(MAX((Engine!$D149:$AA149&lt;&gt;"")*(25-Engine!$D$7:$AA$7)))</f>
        <v>1</v>
      </c>
      <c r="AB72" s="16" t="n">
        <f aca="false">SUMPRODUCT(MAX((Engine!$D149:$AA149&lt;&gt;"")*Engine!$D$7:$AA$7))</f>
        <v>1</v>
      </c>
    </row>
    <row r="73" customFormat="false" ht="15" hidden="false" customHeight="false" outlineLevel="0" collapsed="false">
      <c r="A73" s="16" t="n">
        <v>68</v>
      </c>
      <c r="B73" s="75" t="s">
        <v>303</v>
      </c>
      <c r="C73" s="75" t="s">
        <v>219</v>
      </c>
      <c r="D73" s="76" t="s">
        <v>287</v>
      </c>
      <c r="E73" s="76" t="s">
        <v>268</v>
      </c>
      <c r="F73" s="77" t="n">
        <v>0.75</v>
      </c>
      <c r="G73" s="77" t="n">
        <v>0.25</v>
      </c>
      <c r="H73" s="77" t="n">
        <v>0</v>
      </c>
      <c r="I73" s="77" t="n">
        <v>0</v>
      </c>
      <c r="J73" s="77" t="n">
        <v>0.75</v>
      </c>
      <c r="K73" s="77" t="n">
        <v>0.25</v>
      </c>
      <c r="L73" s="77" t="n">
        <v>0</v>
      </c>
      <c r="M73" s="77" t="n">
        <v>0</v>
      </c>
      <c r="N73" s="77" t="n">
        <v>0.75</v>
      </c>
      <c r="O73" s="77" t="n">
        <v>0.25</v>
      </c>
      <c r="P73" s="77" t="n">
        <v>0</v>
      </c>
      <c r="Q73" s="77" t="n">
        <v>0</v>
      </c>
      <c r="R73" s="17" t="n">
        <f aca="false">J73</f>
        <v>0.75</v>
      </c>
      <c r="S73" s="17" t="n">
        <f aca="false">K73</f>
        <v>0.25</v>
      </c>
      <c r="T73" s="17" t="n">
        <f aca="false">L73</f>
        <v>0</v>
      </c>
      <c r="U73" s="17" t="n">
        <f aca="false">M73</f>
        <v>0</v>
      </c>
      <c r="V73" s="78" t="n">
        <f aca="false">CHOOSE(WeightIdx,F73,J73,N73,R73)</f>
        <v>0.75</v>
      </c>
      <c r="W73" s="78" t="n">
        <f aca="false">CHOOSE(WeightIdx,G73,K73,O73,S73)</f>
        <v>0.25</v>
      </c>
      <c r="X73" s="78" t="n">
        <f aca="false">CHOOSE(WeightIdx,H73,L73,P73,T73)</f>
        <v>0</v>
      </c>
      <c r="Y73" s="78" t="n">
        <f aca="false">CHOOSE(WeightIdx,I73,M73,Q73,U73)</f>
        <v>0</v>
      </c>
      <c r="Z73" s="17" t="n">
        <f aca="false">SUM(V73:Y73)</f>
        <v>1</v>
      </c>
      <c r="AA73" s="16" t="n">
        <f aca="false">25-SUMPRODUCT(MAX((Engine!$D150:$AA150&lt;&gt;"")*(25-Engine!$D$7:$AA$7)))</f>
        <v>1</v>
      </c>
      <c r="AB73" s="16" t="n">
        <f aca="false">SUMPRODUCT(MAX((Engine!$D150:$AA150&lt;&gt;"")*Engine!$D$7:$AA$7))</f>
        <v>1</v>
      </c>
    </row>
    <row r="75" customFormat="false" ht="15" hidden="false" customHeight="false" outlineLevel="0" collapsed="false">
      <c r="B75" s="20" t="s">
        <v>304</v>
      </c>
    </row>
    <row r="76" customFormat="false" ht="15" hidden="false" customHeight="false" outlineLevel="0" collapsed="false">
      <c r="B76" s="20" t="s">
        <v>305</v>
      </c>
    </row>
    <row r="77" customFormat="false" ht="15" hidden="false" customHeight="false" outlineLevel="0" collapsed="false">
      <c r="B77" s="20" t="s">
        <v>306</v>
      </c>
    </row>
  </sheetData>
  <mergeCells count="5">
    <mergeCell ref="F4:I4"/>
    <mergeCell ref="J4:M4"/>
    <mergeCell ref="N4:Q4"/>
    <mergeCell ref="R4:U4"/>
    <mergeCell ref="V4:Y4"/>
  </mergeCells>
  <conditionalFormatting sqref="Z6:Z73">
    <cfRule type="expression" priority="2" aboveAverage="0" equalAverage="0" bottom="0" percent="0" rank="0" text="" dxfId="7">
      <formula>ABS(Z6-1)&gt;0.001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AA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27" min="4" style="0" width="8"/>
  </cols>
  <sheetData>
    <row r="1" customFormat="false" ht="19.7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4" customFormat="false" ht="15" hidden="false" customHeight="false" outlineLevel="0" collapsed="false">
      <c r="A4" s="79" t="s">
        <v>309</v>
      </c>
    </row>
    <row r="5" customFormat="false" ht="15" hidden="false" customHeight="false" outlineLevel="0" collapsed="false">
      <c r="B5" s="10" t="s">
        <v>310</v>
      </c>
      <c r="C5" s="72" t="n">
        <f aca="false">Setup!$C$14</f>
        <v>1.2</v>
      </c>
    </row>
    <row r="6" customFormat="false" ht="15" hidden="false" customHeight="false" outlineLevel="0" collapsed="false">
      <c r="B6" s="10" t="s">
        <v>311</v>
      </c>
      <c r="C6" s="18" t="n">
        <f aca="false">C5/25.4</f>
        <v>0.047244094488189</v>
      </c>
    </row>
    <row r="7" customFormat="false" ht="15" hidden="false" customHeight="false" outlineLevel="0" collapsed="false">
      <c r="A7" s="13" t="s">
        <v>174</v>
      </c>
      <c r="B7" s="13" t="s">
        <v>312</v>
      </c>
      <c r="C7" s="13"/>
      <c r="D7" s="13" t="n">
        <v>1</v>
      </c>
      <c r="E7" s="13" t="n">
        <v>2</v>
      </c>
      <c r="F7" s="13" t="n">
        <v>3</v>
      </c>
      <c r="G7" s="13" t="n">
        <v>4</v>
      </c>
      <c r="H7" s="13" t="n">
        <v>5</v>
      </c>
      <c r="I7" s="13" t="n">
        <v>6</v>
      </c>
      <c r="J7" s="13" t="n">
        <v>7</v>
      </c>
      <c r="K7" s="13" t="n">
        <v>8</v>
      </c>
      <c r="L7" s="13" t="n">
        <v>9</v>
      </c>
      <c r="M7" s="13" t="n">
        <v>10</v>
      </c>
      <c r="N7" s="13" t="n">
        <v>11</v>
      </c>
      <c r="O7" s="13" t="n">
        <v>12</v>
      </c>
      <c r="P7" s="13" t="n">
        <v>13</v>
      </c>
      <c r="Q7" s="13" t="n">
        <v>14</v>
      </c>
      <c r="R7" s="13" t="n">
        <v>15</v>
      </c>
      <c r="S7" s="13" t="n">
        <v>16</v>
      </c>
      <c r="T7" s="13" t="n">
        <v>17</v>
      </c>
      <c r="U7" s="13" t="n">
        <v>18</v>
      </c>
      <c r="V7" s="13" t="n">
        <v>19</v>
      </c>
      <c r="W7" s="13" t="n">
        <v>20</v>
      </c>
      <c r="X7" s="13" t="n">
        <v>21</v>
      </c>
      <c r="Y7" s="13" t="n">
        <v>22</v>
      </c>
      <c r="Z7" s="13" t="n">
        <v>23</v>
      </c>
      <c r="AA7" s="13" t="n">
        <v>24</v>
      </c>
    </row>
    <row r="8" customFormat="false" ht="15" hidden="false" customHeight="false" outlineLevel="0" collapsed="false">
      <c r="A8" s="16" t="n">
        <v>1</v>
      </c>
      <c r="B8" s="46" t="str">
        <f aca="false">'Stitch Library'!B6</f>
        <v>103 Blindstitch</v>
      </c>
      <c r="F8" s="80" t="n">
        <v>3.42</v>
      </c>
      <c r="G8" s="80" t="n">
        <v>3.56</v>
      </c>
      <c r="H8" s="80" t="n">
        <v>3.7</v>
      </c>
      <c r="I8" s="80" t="n">
        <v>3.84</v>
      </c>
      <c r="J8" s="80" t="n">
        <v>3.98</v>
      </c>
      <c r="K8" s="80" t="n">
        <v>4.12</v>
      </c>
      <c r="L8" s="80" t="n">
        <v>4.26</v>
      </c>
      <c r="M8" s="80" t="n">
        <v>4.4</v>
      </c>
    </row>
    <row r="9" customFormat="false" ht="15" hidden="false" customHeight="false" outlineLevel="0" collapsed="false">
      <c r="A9" s="16" t="n">
        <v>2</v>
      </c>
      <c r="B9" s="46" t="str">
        <f aca="false">'Stitch Library'!B7</f>
        <v>108 (1.2mm) Saddlestitch</v>
      </c>
      <c r="E9" s="81" t="n">
        <f aca="false">E$7*((4*$C$6)+(2*0.048)+(3*(1/E$7)))</f>
        <v>3.56995275590551</v>
      </c>
      <c r="F9" s="81" t="n">
        <f aca="false">F$7*((4*$C$6)+(2*0.048)+(3*(1/F$7)))</f>
        <v>3.85492913385827</v>
      </c>
      <c r="G9" s="81" t="n">
        <f aca="false">G$7*((4*$C$6)+(2*0.048)+(3*(1/G$7)))</f>
        <v>4.13990551181102</v>
      </c>
      <c r="H9" s="81" t="n">
        <f aca="false">H$7*((4*$C$6)+(2*0.048)+(3*(1/H$7)))</f>
        <v>4.42488188976378</v>
      </c>
      <c r="I9" s="81" t="n">
        <f aca="false">I$7*((4*$C$6)+(2*0.048)+(3*(1/I$7)))</f>
        <v>4.70985826771654</v>
      </c>
      <c r="J9" s="81" t="n">
        <f aca="false">J$7*((4*$C$6)+(2*0.048)+(3*(1/J$7)))</f>
        <v>4.99483464566929</v>
      </c>
      <c r="K9" s="81" t="n">
        <f aca="false">K$7*((4*$C$6)+(2*0.048)+(3*(1/K$7)))</f>
        <v>5.27981102362205</v>
      </c>
      <c r="L9" s="81" t="n">
        <f aca="false">L$7*((4*$C$6)+(2*0.048)+(3*(1/L$7)))</f>
        <v>5.5647874015748</v>
      </c>
      <c r="M9" s="81" t="n">
        <f aca="false">M$7*((4*$C$6)+(2*0.048)+(3*(1/M$7)))</f>
        <v>5.84976377952756</v>
      </c>
    </row>
    <row r="10" customFormat="false" ht="15" hidden="false" customHeight="false" outlineLevel="0" collapsed="false">
      <c r="A10" s="16" t="n">
        <v>3</v>
      </c>
      <c r="B10" s="46" t="str">
        <f aca="false">'Stitch Library'!B8</f>
        <v>108 (3mm) Saddlestitch</v>
      </c>
      <c r="E10" s="81" t="n">
        <f aca="false">E$7*((4*$C$6)+(2*0.12)+(3*(1/E$7)))</f>
        <v>3.85795275590551</v>
      </c>
      <c r="F10" s="81" t="n">
        <f aca="false">F$7*((4*$C$6)+(2*0.12)+(3*(1/F$7)))</f>
        <v>4.28692913385827</v>
      </c>
      <c r="G10" s="81" t="n">
        <f aca="false">G$7*((4*$C$6)+(2*0.12)+(3*(1/G$7)))</f>
        <v>4.71590551181102</v>
      </c>
      <c r="H10" s="81" t="n">
        <f aca="false">H$7*((4*$C$6)+(2*0.12)+(3*(1/H$7)))</f>
        <v>5.14488188976378</v>
      </c>
      <c r="I10" s="81" t="n">
        <f aca="false">I$7*((4*$C$6)+(2*0.12)+(3*(1/I$7)))</f>
        <v>5.57385826771654</v>
      </c>
      <c r="J10" s="81" t="n">
        <f aca="false">J$7*((4*$C$6)+(2*0.12)+(3*(1/J$7)))</f>
        <v>6.00283464566929</v>
      </c>
      <c r="K10" s="81" t="n">
        <f aca="false">K$7*((4*$C$6)+(2*0.12)+(3*(1/K$7)))</f>
        <v>6.43181102362205</v>
      </c>
      <c r="L10" s="81" t="n">
        <f aca="false">L$7*((4*$C$6)+(2*0.12)+(3*(1/L$7)))</f>
        <v>6.8607874015748</v>
      </c>
      <c r="M10" s="81" t="n">
        <f aca="false">M$7*((4*$C$6)+(2*0.12)+(3*(1/M$7)))</f>
        <v>7.28976377952756</v>
      </c>
    </row>
    <row r="11" customFormat="false" ht="15" hidden="false" customHeight="false" outlineLevel="0" collapsed="false">
      <c r="A11" s="16" t="n">
        <v>4</v>
      </c>
      <c r="B11" s="46" t="str">
        <f aca="false">'Stitch Library'!B9</f>
        <v>108 (5mm) Saddlestitch</v>
      </c>
      <c r="E11" s="81" t="n">
        <f aca="false">E$7*((4*$C$6)+(2*0.2)+(3*(1/E$7)))</f>
        <v>4.17795275590551</v>
      </c>
      <c r="F11" s="81" t="n">
        <f aca="false">F$7*((4*$C$6)+(2*0.2)+(3*(1/F$7)))</f>
        <v>4.76692913385827</v>
      </c>
      <c r="G11" s="81" t="n">
        <f aca="false">G$7*((4*$C$6)+(2*0.2)+(3*(1/G$7)))</f>
        <v>5.35590551181102</v>
      </c>
      <c r="H11" s="81" t="n">
        <f aca="false">H$7*((4*$C$6)+(2*0.2)+(3*(1/H$7)))</f>
        <v>5.94488188976378</v>
      </c>
      <c r="I11" s="81" t="n">
        <f aca="false">I$7*((4*$C$6)+(2*0.2)+(3*(1/I$7)))</f>
        <v>6.53385826771654</v>
      </c>
      <c r="J11" s="81" t="n">
        <f aca="false">J$7*((4*$C$6)+(2*0.2)+(3*(1/J$7)))</f>
        <v>7.12283464566929</v>
      </c>
      <c r="K11" s="81" t="n">
        <f aca="false">K$7*((4*$C$6)+(2*0.2)+(3*(1/K$7)))</f>
        <v>7.71181102362205</v>
      </c>
      <c r="L11" s="81" t="n">
        <f aca="false">L$7*((4*$C$6)+(2*0.2)+(3*(1/L$7)))</f>
        <v>8.3007874015748</v>
      </c>
      <c r="M11" s="81" t="n">
        <f aca="false">M$7*((4*$C$6)+(2*0.2)+(3*(1/M$7)))</f>
        <v>8.88976377952756</v>
      </c>
    </row>
    <row r="12" customFormat="false" ht="15" hidden="false" customHeight="false" outlineLevel="0" collapsed="false">
      <c r="A12" s="16" t="n">
        <v>5</v>
      </c>
      <c r="B12" s="46" t="str">
        <f aca="false">'Stitch Library'!B10</f>
        <v>201 Saddle Stitch</v>
      </c>
      <c r="H12" s="81" t="n">
        <f aca="false">1+1*($C$6*H$7)</f>
        <v>1.23622047244095</v>
      </c>
      <c r="I12" s="81" t="n">
        <f aca="false">1+1*($C$6*I$7)</f>
        <v>1.28346456692913</v>
      </c>
      <c r="J12" s="81" t="n">
        <f aca="false">1+1*($C$6*J$7)</f>
        <v>1.33070866141732</v>
      </c>
      <c r="K12" s="81" t="n">
        <f aca="false">1+1*($C$6*K$7)</f>
        <v>1.37795275590551</v>
      </c>
      <c r="L12" s="81" t="n">
        <f aca="false">1+1*($C$6*L$7)</f>
        <v>1.4251968503937</v>
      </c>
      <c r="M12" s="81" t="n">
        <f aca="false">1+1*($C$6*M$7)</f>
        <v>1.47244094488189</v>
      </c>
      <c r="N12" s="81" t="n">
        <f aca="false">1+1*($C$6*N$7)</f>
        <v>1.51968503937008</v>
      </c>
      <c r="O12" s="81" t="n">
        <f aca="false">1+1*($C$6*O$7)</f>
        <v>1.56692913385827</v>
      </c>
      <c r="P12" s="81" t="n">
        <f aca="false">1+1*($C$6*P$7)</f>
        <v>1.61417322834646</v>
      </c>
      <c r="Q12" s="81" t="n">
        <f aca="false">1+1*($C$6*Q$7)</f>
        <v>1.66141732283465</v>
      </c>
      <c r="R12" s="81" t="n">
        <f aca="false">1+1*($C$6*R$7)</f>
        <v>1.70866141732283</v>
      </c>
      <c r="S12" s="81" t="n">
        <f aca="false">1+1*($C$6*S$7)</f>
        <v>1.75590551181102</v>
      </c>
      <c r="T12" s="81" t="n">
        <f aca="false">1+1*($C$6*T$7)</f>
        <v>1.80314960629921</v>
      </c>
      <c r="U12" s="81" t="n">
        <f aca="false">1+1*($C$6*U$7)</f>
        <v>1.8503937007874</v>
      </c>
      <c r="V12" s="81" t="n">
        <f aca="false">1+1*($C$6*V$7)</f>
        <v>1.89763779527559</v>
      </c>
      <c r="W12" s="81" t="n">
        <f aca="false">1+1*($C$6*W$7)</f>
        <v>1.94488188976378</v>
      </c>
      <c r="X12" s="81" t="n">
        <f aca="false">1+1*($C$6*X$7)</f>
        <v>1.99212598425197</v>
      </c>
      <c r="Y12" s="81" t="n">
        <f aca="false">1+1*($C$6*Y$7)</f>
        <v>2.03937007874016</v>
      </c>
      <c r="Z12" s="81" t="n">
        <f aca="false">1+1*($C$6*Z$7)</f>
        <v>2.08661417322835</v>
      </c>
      <c r="AA12" s="81" t="n">
        <f aca="false">1+1*($C$6*AA$7)</f>
        <v>2.13385826771654</v>
      </c>
    </row>
    <row r="13" customFormat="false" ht="15" hidden="false" customHeight="false" outlineLevel="0" collapsed="false">
      <c r="A13" s="16" t="n">
        <v>6</v>
      </c>
      <c r="B13" s="46" t="str">
        <f aca="false">'Stitch Library'!B11</f>
        <v>101 Single Needle Chain</v>
      </c>
      <c r="F13" s="81" t="n">
        <f aca="false">3+2*($C$6*F$7)</f>
        <v>3.28346456692913</v>
      </c>
      <c r="G13" s="81" t="n">
        <f aca="false">3+2*($C$6*G$7)</f>
        <v>3.37795275590551</v>
      </c>
      <c r="H13" s="81" t="n">
        <f aca="false">3+2*($C$6*H$7)</f>
        <v>3.47244094488189</v>
      </c>
      <c r="I13" s="81" t="n">
        <f aca="false">3+2*($C$6*I$7)</f>
        <v>3.56692913385827</v>
      </c>
      <c r="J13" s="81" t="n">
        <f aca="false">3+2*($C$6*J$7)</f>
        <v>3.66141732283465</v>
      </c>
      <c r="K13" s="81" t="n">
        <f aca="false">3+2*($C$6*K$7)</f>
        <v>3.75590551181102</v>
      </c>
      <c r="L13" s="81" t="n">
        <f aca="false">3+2*($C$6*L$7)</f>
        <v>3.8503937007874</v>
      </c>
      <c r="M13" s="81" t="n">
        <f aca="false">3+2*($C$6*M$7)</f>
        <v>3.94488188976378</v>
      </c>
      <c r="N13" s="81" t="n">
        <f aca="false">3+2*($C$6*N$7)</f>
        <v>4.03937007874016</v>
      </c>
      <c r="O13" s="81" t="n">
        <f aca="false">3+2*($C$6*O$7)</f>
        <v>4.13385826771654</v>
      </c>
      <c r="P13" s="81" t="n">
        <f aca="false">3+2*($C$6*P$7)</f>
        <v>4.22834645669291</v>
      </c>
      <c r="Q13" s="81" t="n">
        <f aca="false">3+2*($C$6*Q$7)</f>
        <v>4.32283464566929</v>
      </c>
      <c r="R13" s="81" t="n">
        <f aca="false">3+2*($C$6*R$7)</f>
        <v>4.41732283464567</v>
      </c>
      <c r="S13" s="81" t="n">
        <f aca="false">3+2*($C$6*S$7)</f>
        <v>4.51181102362205</v>
      </c>
      <c r="T13" s="81" t="n">
        <f aca="false">3+2*($C$6*T$7)</f>
        <v>4.60629921259843</v>
      </c>
      <c r="U13" s="81" t="n">
        <f aca="false">3+2*($C$6*U$7)</f>
        <v>4.7007874015748</v>
      </c>
      <c r="V13" s="81" t="n">
        <f aca="false">3+2*($C$6*V$7)</f>
        <v>4.79527559055118</v>
      </c>
      <c r="W13" s="81" t="n">
        <f aca="false">3+2*($C$6*W$7)</f>
        <v>4.88976377952756</v>
      </c>
      <c r="X13" s="81" t="n">
        <f aca="false">3+2*($C$6*X$7)</f>
        <v>4.98425196850394</v>
      </c>
      <c r="Y13" s="81" t="n">
        <f aca="false">3+2*($C$6*Y$7)</f>
        <v>5.07874015748032</v>
      </c>
      <c r="Z13" s="81" t="n">
        <f aca="false">3+2*($C$6*Z$7)</f>
        <v>5.17322834645669</v>
      </c>
      <c r="AA13" s="81" t="n">
        <f aca="false">3+2*($C$6*AA$7)</f>
        <v>5.26771653543307</v>
      </c>
    </row>
    <row r="14" customFormat="false" ht="15" hidden="false" customHeight="false" outlineLevel="0" collapsed="false">
      <c r="A14" s="16" t="n">
        <v>7</v>
      </c>
      <c r="B14" s="46" t="str">
        <f aca="false">'Stitch Library'!B12</f>
        <v>301 Lockstitch</v>
      </c>
      <c r="E14" s="80" t="n">
        <v>2.19</v>
      </c>
      <c r="F14" s="80" t="n">
        <v>2.28</v>
      </c>
      <c r="G14" s="80" t="n">
        <v>2.38</v>
      </c>
      <c r="H14" s="81" t="n">
        <f aca="false">2+2*($C$6*H$7)</f>
        <v>2.47244094488189</v>
      </c>
      <c r="I14" s="81" t="n">
        <f aca="false">2+2*($C$6*I$7)</f>
        <v>2.56692913385827</v>
      </c>
      <c r="J14" s="81" t="n">
        <f aca="false">2+2*($C$6*J$7)</f>
        <v>2.66141732283465</v>
      </c>
      <c r="K14" s="81" t="n">
        <f aca="false">2+2*($C$6*K$7)</f>
        <v>2.75590551181102</v>
      </c>
      <c r="L14" s="81" t="n">
        <f aca="false">2+2*($C$6*L$7)</f>
        <v>2.8503937007874</v>
      </c>
      <c r="M14" s="81" t="n">
        <f aca="false">2+2*($C$6*M$7)</f>
        <v>2.94488188976378</v>
      </c>
      <c r="N14" s="81" t="n">
        <f aca="false">2+2*($C$6*N$7)</f>
        <v>3.03937007874016</v>
      </c>
      <c r="O14" s="81" t="n">
        <f aca="false">2+2*($C$6*O$7)</f>
        <v>3.13385826771654</v>
      </c>
      <c r="P14" s="81" t="n">
        <f aca="false">2+2*($C$6*P$7)</f>
        <v>3.22834645669291</v>
      </c>
      <c r="Q14" s="81" t="n">
        <f aca="false">2+2*($C$6*Q$7)</f>
        <v>3.32283464566929</v>
      </c>
      <c r="R14" s="81" t="n">
        <f aca="false">2+2*($C$6*R$7)</f>
        <v>3.41732283464567</v>
      </c>
      <c r="S14" s="81" t="n">
        <f aca="false">2+2*($C$6*S$7)</f>
        <v>3.51181102362205</v>
      </c>
      <c r="T14" s="81" t="n">
        <f aca="false">2+2*($C$6*T$7)</f>
        <v>3.60629921259843</v>
      </c>
      <c r="U14" s="81" t="n">
        <f aca="false">2+2*($C$6*U$7)</f>
        <v>3.7007874015748</v>
      </c>
      <c r="V14" s="81" t="n">
        <f aca="false">2+2*($C$6*V$7)</f>
        <v>3.79527559055118</v>
      </c>
      <c r="W14" s="81" t="n">
        <f aca="false">2+2*($C$6*W$7)</f>
        <v>3.88976377952756</v>
      </c>
      <c r="X14" s="81" t="n">
        <f aca="false">2+2*($C$6*X$7)</f>
        <v>3.98425196850394</v>
      </c>
      <c r="Y14" s="81" t="n">
        <f aca="false">2+2*($C$6*Y$7)</f>
        <v>4.07874015748032</v>
      </c>
      <c r="Z14" s="81" t="n">
        <f aca="false">2+2*($C$6*Z$7)</f>
        <v>4.17322834645669</v>
      </c>
      <c r="AA14" s="81" t="n">
        <f aca="false">2+2*($C$6*AA$7)</f>
        <v>4.26771653543307</v>
      </c>
    </row>
    <row r="15" customFormat="false" ht="15" hidden="false" customHeight="false" outlineLevel="0" collapsed="false">
      <c r="A15" s="16" t="n">
        <v>8</v>
      </c>
      <c r="B15" s="46" t="str">
        <f aca="false">'Stitch Library'!B13</f>
        <v>304 1/8" ZigZag</v>
      </c>
      <c r="H15" s="81" t="n">
        <f aca="false">2*H$7*(SQRT((0.125*0.125)+($C$6*$C$6))+$C$6)</f>
        <v>1.80874197623706</v>
      </c>
      <c r="I15" s="81" t="n">
        <f aca="false">2*I$7*(SQRT((0.125*0.125)+($C$6*$C$6))+$C$6)</f>
        <v>2.17049037148447</v>
      </c>
      <c r="J15" s="81" t="n">
        <f aca="false">2*J$7*(SQRT((0.125*0.125)+($C$6*$C$6))+$C$6)</f>
        <v>2.53223876673188</v>
      </c>
      <c r="K15" s="81" t="n">
        <f aca="false">2*K$7*(SQRT((0.125*0.125)+($C$6*$C$6))+$C$6)</f>
        <v>2.8939871619793</v>
      </c>
      <c r="L15" s="81" t="n">
        <f aca="false">2*L$7*(SQRT((0.125*0.125)+($C$6*$C$6))+$C$6)</f>
        <v>3.25573555722671</v>
      </c>
      <c r="M15" s="81" t="n">
        <f aca="false">2*M$7*(SQRT((0.125*0.125)+($C$6*$C$6))+$C$6)</f>
        <v>3.61748395247412</v>
      </c>
      <c r="N15" s="81" t="n">
        <f aca="false">2*N$7*(SQRT((0.125*0.125)+($C$6*$C$6))+$C$6)</f>
        <v>3.97923234772153</v>
      </c>
      <c r="O15" s="81" t="n">
        <f aca="false">2*O$7*(SQRT((0.125*0.125)+($C$6*$C$6))+$C$6)</f>
        <v>4.34098074296895</v>
      </c>
      <c r="P15" s="81" t="n">
        <f aca="false">2*P$7*(SQRT((0.125*0.125)+($C$6*$C$6))+$C$6)</f>
        <v>4.70272913821636</v>
      </c>
      <c r="Q15" s="81" t="n">
        <f aca="false">2*Q$7*(SQRT((0.125*0.125)+($C$6*$C$6))+$C$6)</f>
        <v>5.06447753346377</v>
      </c>
      <c r="R15" s="81" t="n">
        <f aca="false">2*R$7*(SQRT((0.125*0.125)+($C$6*$C$6))+$C$6)</f>
        <v>5.42622592871118</v>
      </c>
      <c r="S15" s="81" t="n">
        <f aca="false">2*S$7*(SQRT((0.125*0.125)+($C$6*$C$6))+$C$6)</f>
        <v>5.78797432395859</v>
      </c>
      <c r="T15" s="81" t="n">
        <f aca="false">2*T$7*(SQRT((0.125*0.125)+($C$6*$C$6))+$C$6)</f>
        <v>6.14972271920601</v>
      </c>
      <c r="U15" s="81" t="n">
        <f aca="false">2*U$7*(SQRT((0.125*0.125)+($C$6*$C$6))+$C$6)</f>
        <v>6.51147111445342</v>
      </c>
      <c r="V15" s="81" t="n">
        <f aca="false">2*V$7*(SQRT((0.125*0.125)+($C$6*$C$6))+$C$6)</f>
        <v>6.87321950970083</v>
      </c>
      <c r="W15" s="81" t="n">
        <f aca="false">2*W$7*(SQRT((0.125*0.125)+($C$6*$C$6))+$C$6)</f>
        <v>7.23496790494824</v>
      </c>
      <c r="X15" s="81" t="n">
        <f aca="false">2*X$7*(SQRT((0.125*0.125)+($C$6*$C$6))+$C$6)</f>
        <v>7.59671630019565</v>
      </c>
      <c r="Y15" s="81" t="n">
        <f aca="false">2*Y$7*(SQRT((0.125*0.125)+($C$6*$C$6))+$C$6)</f>
        <v>7.95846469544307</v>
      </c>
      <c r="Z15" s="81" t="n">
        <f aca="false">2*Z$7*(SQRT((0.125*0.125)+($C$6*$C$6))+$C$6)</f>
        <v>8.32021309069048</v>
      </c>
      <c r="AA15" s="81" t="n">
        <f aca="false">2*AA$7*(SQRT((0.125*0.125)+($C$6*$C$6))+$C$6)</f>
        <v>8.68196148593789</v>
      </c>
    </row>
    <row r="16" customFormat="false" ht="15" hidden="false" customHeight="false" outlineLevel="0" collapsed="false">
      <c r="A16" s="16" t="n">
        <v>9</v>
      </c>
      <c r="B16" s="46" t="str">
        <f aca="false">'Stitch Library'!B14</f>
        <v>304 3/16"m ZigZag</v>
      </c>
      <c r="H16" s="81" t="n">
        <f aca="false">2*H$7*(SQRT((0.188*0.188)+($C$6*$C$6))+$C$6)</f>
        <v>2.41089405145963</v>
      </c>
      <c r="I16" s="81" t="n">
        <f aca="false">2*I$7*(SQRT((0.188*0.188)+($C$6*$C$6))+$C$6)</f>
        <v>2.89307286175156</v>
      </c>
      <c r="J16" s="81" t="n">
        <f aca="false">2*J$7*(SQRT((0.188*0.188)+($C$6*$C$6))+$C$6)</f>
        <v>3.37525167204348</v>
      </c>
      <c r="K16" s="81" t="n">
        <f aca="false">2*K$7*(SQRT((0.188*0.188)+($C$6*$C$6))+$C$6)</f>
        <v>3.85743048233541</v>
      </c>
      <c r="L16" s="81" t="n">
        <f aca="false">2*L$7*(SQRT((0.188*0.188)+($C$6*$C$6))+$C$6)</f>
        <v>4.33960929262733</v>
      </c>
      <c r="M16" s="81" t="n">
        <f aca="false">2*M$7*(SQRT((0.188*0.188)+($C$6*$C$6))+$C$6)</f>
        <v>4.82178810291926</v>
      </c>
      <c r="N16" s="81" t="n">
        <f aca="false">2*N$7*(SQRT((0.188*0.188)+($C$6*$C$6))+$C$6)</f>
        <v>5.30396691321119</v>
      </c>
      <c r="O16" s="81" t="n">
        <f aca="false">2*O$7*(SQRT((0.188*0.188)+($C$6*$C$6))+$C$6)</f>
        <v>5.78614572350311</v>
      </c>
      <c r="P16" s="81" t="n">
        <f aca="false">2*P$7*(SQRT((0.188*0.188)+($C$6*$C$6))+$C$6)</f>
        <v>6.26832453379504</v>
      </c>
      <c r="Q16" s="81" t="n">
        <f aca="false">2*Q$7*(SQRT((0.188*0.188)+($C$6*$C$6))+$C$6)</f>
        <v>6.75050334408696</v>
      </c>
      <c r="R16" s="81" t="n">
        <f aca="false">2*R$7*(SQRT((0.188*0.188)+($C$6*$C$6))+$C$6)</f>
        <v>7.23268215437889</v>
      </c>
      <c r="S16" s="81" t="n">
        <f aca="false">2*S$7*(SQRT((0.188*0.188)+($C$6*$C$6))+$C$6)</f>
        <v>7.71486096467082</v>
      </c>
      <c r="T16" s="81" t="n">
        <f aca="false">2*T$7*(SQRT((0.188*0.188)+($C$6*$C$6))+$C$6)</f>
        <v>8.19703977496274</v>
      </c>
      <c r="U16" s="81" t="n">
        <f aca="false">2*U$7*(SQRT((0.188*0.188)+($C$6*$C$6))+$C$6)</f>
        <v>8.67921858525467</v>
      </c>
      <c r="V16" s="81" t="n">
        <f aca="false">2*V$7*(SQRT((0.188*0.188)+($C$6*$C$6))+$C$6)</f>
        <v>9.1613973955466</v>
      </c>
      <c r="W16" s="81" t="n">
        <f aca="false">2*W$7*(SQRT((0.188*0.188)+($C$6*$C$6))+$C$6)</f>
        <v>9.64357620583852</v>
      </c>
      <c r="X16" s="81" t="n">
        <f aca="false">2*X$7*(SQRT((0.188*0.188)+($C$6*$C$6))+$C$6)</f>
        <v>10.1257550161304</v>
      </c>
      <c r="Y16" s="81" t="n">
        <f aca="false">2*Y$7*(SQRT((0.188*0.188)+($C$6*$C$6))+$C$6)</f>
        <v>10.6079338264224</v>
      </c>
      <c r="Z16" s="81" t="n">
        <f aca="false">2*Z$7*(SQRT((0.188*0.188)+($C$6*$C$6))+$C$6)</f>
        <v>11.0901126367143</v>
      </c>
      <c r="AA16" s="81" t="n">
        <f aca="false">2*AA$7*(SQRT((0.188*0.188)+($C$6*$C$6))+$C$6)</f>
        <v>11.5722914470062</v>
      </c>
    </row>
    <row r="17" customFormat="false" ht="15" hidden="false" customHeight="false" outlineLevel="0" collapsed="false">
      <c r="A17" s="16" t="n">
        <v>10</v>
      </c>
      <c r="B17" s="46" t="str">
        <f aca="false">'Stitch Library'!B15</f>
        <v>304 1/4" ZigZag</v>
      </c>
      <c r="H17" s="81" t="n">
        <f aca="false">2*H$7*(SQRT((0.25*0.25)+($C$6*$C$6))+$C$6)</f>
        <v>3.01668944815371</v>
      </c>
      <c r="I17" s="81" t="n">
        <f aca="false">2*I$7*(SQRT((0.25*0.25)+($C$6*$C$6))+$C$6)</f>
        <v>3.62002733778445</v>
      </c>
      <c r="J17" s="81" t="n">
        <f aca="false">2*J$7*(SQRT((0.25*0.25)+($C$6*$C$6))+$C$6)</f>
        <v>4.22336522741519</v>
      </c>
      <c r="K17" s="81" t="n">
        <f aca="false">2*K$7*(SQRT((0.25*0.25)+($C$6*$C$6))+$C$6)</f>
        <v>4.82670311704593</v>
      </c>
      <c r="L17" s="81" t="n">
        <f aca="false">2*L$7*(SQRT((0.25*0.25)+($C$6*$C$6))+$C$6)</f>
        <v>5.43004100667668</v>
      </c>
      <c r="M17" s="81" t="n">
        <f aca="false">2*M$7*(SQRT((0.25*0.25)+($C$6*$C$6))+$C$6)</f>
        <v>6.03337889630742</v>
      </c>
      <c r="N17" s="81" t="n">
        <f aca="false">2*N$7*(SQRT((0.25*0.25)+($C$6*$C$6))+$C$6)</f>
        <v>6.63671678593816</v>
      </c>
      <c r="O17" s="81" t="n">
        <f aca="false">2*O$7*(SQRT((0.25*0.25)+($C$6*$C$6))+$C$6)</f>
        <v>7.2400546755689</v>
      </c>
      <c r="P17" s="81" t="n">
        <f aca="false">2*P$7*(SQRT((0.25*0.25)+($C$6*$C$6))+$C$6)</f>
        <v>7.84339256519964</v>
      </c>
      <c r="Q17" s="81" t="n">
        <f aca="false">2*Q$7*(SQRT((0.25*0.25)+($C$6*$C$6))+$C$6)</f>
        <v>8.44673045483038</v>
      </c>
      <c r="R17" s="81" t="n">
        <f aca="false">2*R$7*(SQRT((0.25*0.25)+($C$6*$C$6))+$C$6)</f>
        <v>9.05006834446113</v>
      </c>
      <c r="S17" s="81" t="n">
        <f aca="false">2*S$7*(SQRT((0.25*0.25)+($C$6*$C$6))+$C$6)</f>
        <v>9.65340623409187</v>
      </c>
      <c r="T17" s="81" t="n">
        <f aca="false">2*T$7*(SQRT((0.25*0.25)+($C$6*$C$6))+$C$6)</f>
        <v>10.2567441237226</v>
      </c>
      <c r="U17" s="81" t="n">
        <f aca="false">2*U$7*(SQRT((0.25*0.25)+($C$6*$C$6))+$C$6)</f>
        <v>10.8600820133534</v>
      </c>
      <c r="V17" s="81" t="n">
        <f aca="false">2*V$7*(SQRT((0.25*0.25)+($C$6*$C$6))+$C$6)</f>
        <v>11.4634199029841</v>
      </c>
      <c r="W17" s="81" t="n">
        <f aca="false">2*W$7*(SQRT((0.25*0.25)+($C$6*$C$6))+$C$6)</f>
        <v>12.0667577926148</v>
      </c>
      <c r="X17" s="81" t="n">
        <f aca="false">2*X$7*(SQRT((0.25*0.25)+($C$6*$C$6))+$C$6)</f>
        <v>12.6700956822456</v>
      </c>
      <c r="Y17" s="81" t="n">
        <f aca="false">2*Y$7*(SQRT((0.25*0.25)+($C$6*$C$6))+$C$6)</f>
        <v>13.2734335718763</v>
      </c>
      <c r="Z17" s="81" t="n">
        <f aca="false">2*Z$7*(SQRT((0.25*0.25)+($C$6*$C$6))+$C$6)</f>
        <v>13.8767714615071</v>
      </c>
      <c r="AA17" s="81" t="n">
        <f aca="false">2*AA$7*(SQRT((0.25*0.25)+($C$6*$C$6))+$C$6)</f>
        <v>14.4801093511378</v>
      </c>
    </row>
    <row r="18" customFormat="false" ht="15" hidden="false" customHeight="false" outlineLevel="0" collapsed="false">
      <c r="A18" s="16" t="n">
        <v>11</v>
      </c>
      <c r="B18" s="46" t="str">
        <f aca="false">'Stitch Library'!B16</f>
        <v>308 (2) Step Zig Zag</v>
      </c>
      <c r="F18" s="81" t="n">
        <f aca="false">2*F$7*(SQRT((0.188*0.188)+($C$6*$C$6))+(3*$C$6))</f>
        <v>2.01346556473405</v>
      </c>
      <c r="G18" s="81" t="n">
        <f aca="false">2*G$7*(SQRT((0.188*0.188)+($C$6*$C$6))+(3*$C$6))</f>
        <v>2.68462075297873</v>
      </c>
      <c r="H18" s="81" t="n">
        <f aca="false">2*H$7*(SQRT((0.188*0.188)+($C$6*$C$6))+(3*$C$6))</f>
        <v>3.35577594122341</v>
      </c>
      <c r="I18" s="81" t="n">
        <f aca="false">2*I$7*(SQRT((0.188*0.188)+($C$6*$C$6))+(3*$C$6))</f>
        <v>4.02693112946809</v>
      </c>
      <c r="J18" s="81" t="n">
        <f aca="false">2*J$7*(SQRT((0.188*0.188)+($C$6*$C$6))+(3*$C$6))</f>
        <v>4.69808631771277</v>
      </c>
      <c r="K18" s="81" t="n">
        <f aca="false">2*K$7*(SQRT((0.188*0.188)+($C$6*$C$6))+(3*$C$6))</f>
        <v>5.36924150595746</v>
      </c>
      <c r="L18" s="81" t="n">
        <f aca="false">2*L$7*(SQRT((0.188*0.188)+($C$6*$C$6))+(3*$C$6))</f>
        <v>6.04039669420214</v>
      </c>
      <c r="M18" s="81" t="n">
        <f aca="false">2*M$7*(SQRT((0.188*0.188)+($C$6*$C$6))+(3*$C$6))</f>
        <v>6.71155188244682</v>
      </c>
    </row>
    <row r="19" customFormat="false" ht="15" hidden="false" customHeight="false" outlineLevel="0" collapsed="false">
      <c r="A19" s="16" t="n">
        <v>12</v>
      </c>
      <c r="B19" s="46" t="str">
        <f aca="false">'Stitch Library'!B17</f>
        <v>315 (3) Step Zig Zag</v>
      </c>
      <c r="F19" s="81" t="n">
        <f aca="false">2*F$7*(SQRT((0.25*0.25)+($C$6*$C$6))+(4*$C$6))</f>
        <v>2.66040736967963</v>
      </c>
      <c r="G19" s="81" t="n">
        <f aca="false">2*G$7*(SQRT((0.25*0.25)+($C$6*$C$6))+(4*$C$6))</f>
        <v>3.5472098262395</v>
      </c>
      <c r="H19" s="81" t="n">
        <f aca="false">2*H$7*(SQRT((0.25*0.25)+($C$6*$C$6))+(4*$C$6))</f>
        <v>4.43401228279938</v>
      </c>
      <c r="I19" s="81" t="n">
        <f aca="false">2*I$7*(SQRT((0.25*0.25)+($C$6*$C$6))+(4*$C$6))</f>
        <v>5.32081473935925</v>
      </c>
      <c r="J19" s="81" t="n">
        <f aca="false">2*J$7*(SQRT((0.25*0.25)+($C$6*$C$6))+(4*$C$6))</f>
        <v>6.20761719591913</v>
      </c>
      <c r="K19" s="81" t="n">
        <f aca="false">2*K$7*(SQRT((0.25*0.25)+($C$6*$C$6))+(4*$C$6))</f>
        <v>7.09441965247901</v>
      </c>
      <c r="L19" s="81" t="n">
        <f aca="false">2*L$7*(SQRT((0.25*0.25)+($C$6*$C$6))+(4*$C$6))</f>
        <v>7.98122210903888</v>
      </c>
      <c r="M19" s="81" t="n">
        <f aca="false">2*M$7*(SQRT((0.25*0.25)+($C$6*$C$6))+(4*$C$6))</f>
        <v>8.86802456559876</v>
      </c>
    </row>
    <row r="20" customFormat="false" ht="15" hidden="false" customHeight="false" outlineLevel="0" collapsed="false">
      <c r="A20" s="16" t="n">
        <v>13</v>
      </c>
      <c r="B20" s="46" t="str">
        <f aca="false">'Stitch Library'!B18</f>
        <v>322 (4) Step Zig Zag</v>
      </c>
      <c r="F20" s="81" t="n">
        <f aca="false">2*F$7*(SQRT((0.25*0.25)+($C$6*$C$6))+(5*$C$6))</f>
        <v>2.94387193660876</v>
      </c>
      <c r="G20" s="81" t="n">
        <f aca="false">2*G$7*(SQRT((0.25*0.25)+($C$6*$C$6))+(5*$C$6))</f>
        <v>3.92516258214501</v>
      </c>
      <c r="H20" s="81" t="n">
        <f aca="false">2*H$7*(SQRT((0.25*0.25)+($C$6*$C$6))+(5*$C$6))</f>
        <v>4.90645322768127</v>
      </c>
      <c r="I20" s="81" t="n">
        <f aca="false">2*I$7*(SQRT((0.25*0.25)+($C$6*$C$6))+(5*$C$6))</f>
        <v>5.88774387321752</v>
      </c>
      <c r="J20" s="81" t="n">
        <f aca="false">2*J$7*(SQRT((0.25*0.25)+($C$6*$C$6))+(5*$C$6))</f>
        <v>6.86903451875378</v>
      </c>
      <c r="K20" s="81" t="n">
        <f aca="false">2*K$7*(SQRT((0.25*0.25)+($C$6*$C$6))+(5*$C$6))</f>
        <v>7.85032516429003</v>
      </c>
      <c r="L20" s="81" t="n">
        <f aca="false">2*L$7*(SQRT((0.25*0.25)+($C$6*$C$6))+(5*$C$6))</f>
        <v>8.83161580982628</v>
      </c>
      <c r="M20" s="81" t="n">
        <f aca="false">2*M$7*(SQRT((0.25*0.25)+($C$6*$C$6))+(5*$C$6))</f>
        <v>9.81290645536254</v>
      </c>
    </row>
    <row r="21" customFormat="false" ht="15" hidden="false" customHeight="false" outlineLevel="0" collapsed="false">
      <c r="A21" s="16" t="n">
        <v>14</v>
      </c>
      <c r="B21" s="46" t="str">
        <f aca="false">'Stitch Library'!B19</f>
        <v>401 Chainstitch</v>
      </c>
      <c r="H21" s="81" t="n">
        <f aca="false">IF(Setup!$C$27="Original",4*2*($C$6*H$7),4+2*($C$6*H$7))</f>
        <v>4.47244094488189</v>
      </c>
      <c r="I21" s="81" t="n">
        <f aca="false">IF(Setup!$C$27="Original",4*2*($C$6*I$7),4+2*($C$6*I$7))</f>
        <v>4.56692913385827</v>
      </c>
      <c r="J21" s="81" t="n">
        <f aca="false">IF(Setup!$C$27="Original",4*2*($C$6*J$7),4+2*($C$6*J$7))</f>
        <v>4.66141732283465</v>
      </c>
      <c r="K21" s="81" t="n">
        <f aca="false">IF(Setup!$C$27="Original",4*2*($C$6*K$7),4+2*($C$6*K$7))</f>
        <v>4.75590551181102</v>
      </c>
      <c r="L21" s="81" t="n">
        <f aca="false">IF(Setup!$C$27="Original",4*2*($C$6*L$7),4+2*($C$6*L$7))</f>
        <v>4.8503937007874</v>
      </c>
      <c r="M21" s="81" t="n">
        <f aca="false">IF(Setup!$C$27="Original",4*2*($C$6*M$7),4+2*($C$6*M$7))</f>
        <v>4.94488188976378</v>
      </c>
      <c r="N21" s="81" t="n">
        <f aca="false">IF(Setup!$C$27="Original",4*2*($C$6*N$7),4+2*($C$6*N$7))</f>
        <v>5.03937007874016</v>
      </c>
      <c r="O21" s="81" t="n">
        <f aca="false">IF(Setup!$C$27="Original",4*2*($C$6*O$7),4+2*($C$6*O$7))</f>
        <v>5.13385826771654</v>
      </c>
      <c r="P21" s="81" t="n">
        <f aca="false">IF(Setup!$C$27="Original",4*2*($C$6*P$7),4+2*($C$6*P$7))</f>
        <v>5.22834645669291</v>
      </c>
      <c r="Q21" s="81" t="n">
        <f aca="false">IF(Setup!$C$27="Original",4*2*($C$6*Q$7),4+2*($C$6*Q$7))</f>
        <v>5.32283464566929</v>
      </c>
      <c r="R21" s="81" t="n">
        <f aca="false">IF(Setup!$C$27="Original",4*2*($C$6*R$7),4+2*($C$6*R$7))</f>
        <v>5.41732283464567</v>
      </c>
      <c r="S21" s="81" t="n">
        <f aca="false">IF(Setup!$C$27="Original",4*2*($C$6*S$7),4+2*($C$6*S$7))</f>
        <v>5.51181102362205</v>
      </c>
      <c r="T21" s="81" t="n">
        <f aca="false">IF(Setup!$C$27="Original",4*2*($C$6*T$7),4+2*($C$6*T$7))</f>
        <v>5.60629921259843</v>
      </c>
      <c r="U21" s="81" t="n">
        <f aca="false">IF(Setup!$C$27="Original",4*2*($C$6*U$7),4+2*($C$6*U$7))</f>
        <v>5.7007874015748</v>
      </c>
      <c r="V21" s="81" t="n">
        <f aca="false">IF(Setup!$C$27="Original",4*2*($C$6*V$7),4+2*($C$6*V$7))</f>
        <v>5.79527559055118</v>
      </c>
      <c r="W21" s="81" t="n">
        <f aca="false">IF(Setup!$C$27="Original",4*2*($C$6*W$7),4+2*($C$6*W$7))</f>
        <v>5.88976377952756</v>
      </c>
      <c r="X21" s="81" t="n">
        <f aca="false">IF(Setup!$C$27="Original",4*2*($C$6*X$7),4+2*($C$6*X$7))</f>
        <v>5.98425196850394</v>
      </c>
      <c r="Y21" s="81" t="n">
        <f aca="false">IF(Setup!$C$27="Original",4*2*($C$6*Y$7),4+2*($C$6*Y$7))</f>
        <v>6.07874015748032</v>
      </c>
      <c r="Z21" s="81" t="n">
        <f aca="false">IF(Setup!$C$27="Original",4*2*($C$6*Z$7),4+2*($C$6*Z$7))</f>
        <v>6.17322834645669</v>
      </c>
      <c r="AA21" s="81" t="n">
        <f aca="false">IF(Setup!$C$27="Original",4*2*($C$6*AA$7),4+2*($C$6*AA$7))</f>
        <v>6.26771653543307</v>
      </c>
    </row>
    <row r="22" customFormat="false" ht="15" hidden="false" customHeight="false" outlineLevel="0" collapsed="false">
      <c r="A22" s="16" t="n">
        <v>15</v>
      </c>
      <c r="B22" s="46" t="str">
        <f aca="false">'Stitch Library'!B20</f>
        <v>404 ZigZag Chain</v>
      </c>
      <c r="H22" s="81" t="n">
        <f aca="false">2*H$7*(2*(SQRT((0.125*0.125)+((1/H$7)*(1/H$7)))+$C$6))</f>
        <v>5.66187245579208</v>
      </c>
      <c r="I22" s="81" t="n">
        <f aca="false">2*I$7*(2*(SQRT((0.125*0.125)+((1/I$7)*(1/I$7)))+$C$6))</f>
        <v>6.13385826771654</v>
      </c>
      <c r="J22" s="81" t="n">
        <f aca="false">2*J$7*(2*(SQRT((0.125*0.125)+((1/J$7)*(1/J$7)))+$C$6))</f>
        <v>6.63790755203662</v>
      </c>
      <c r="K22" s="81" t="n">
        <f aca="false">2*K$7*(2*(SQRT((0.125*0.125)+((1/K$7)*(1/K$7)))+$C$6))</f>
        <v>7.16866527311443</v>
      </c>
      <c r="L22" s="81" t="n">
        <f aca="false">2*L$7*(2*(SQRT((0.125*0.125)+((1/L$7)*(1/L$7)))+$C$6))</f>
        <v>7.72158469097095</v>
      </c>
      <c r="M22" s="81" t="n">
        <f aca="false">2*M$7*(2*(SQRT((0.125*0.125)+((1/M$7)*(1/M$7)))+$C$6))</f>
        <v>8.29288801696041</v>
      </c>
      <c r="N22" s="81" t="n">
        <f aca="false">2*N$7*(2*(SQRT((0.125*0.125)+((1/N$7)*(1/N$7)))+$C$6))</f>
        <v>8.87947541184804</v>
      </c>
      <c r="O22" s="81" t="n">
        <f aca="false">2*O$7*(2*(SQRT((0.125*0.125)+((1/O$7)*(1/O$7)))+$C$6))</f>
        <v>9.47881908636105</v>
      </c>
      <c r="P22" s="81" t="n">
        <f aca="false">2*P$7*(2*(SQRT((0.125*0.125)+((1/P$7)*(1/P$7)))+$C$6))</f>
        <v>10.0888616746227</v>
      </c>
      <c r="Q22" s="81" t="n">
        <f aca="false">2*Q$7*(2*(SQRT((0.125*0.125)+((1/Q$7)*(1/Q$7)))+$C$6))</f>
        <v>10.7079270396371</v>
      </c>
      <c r="R22" s="81" t="n">
        <f aca="false">2*R$7*(2*(SQRT((0.125*0.125)+((1/R$7)*(1/R$7)))+$C$6))</f>
        <v>11.3346456692913</v>
      </c>
      <c r="S22" s="81" t="n">
        <f aca="false">2*S$7*(2*(SQRT((0.125*0.125)+((1/S$7)*(1/S$7)))+$C$6))</f>
        <v>11.9678939572433</v>
      </c>
      <c r="T22" s="81" t="n">
        <f aca="false">2*T$7*(2*(SQRT((0.125*0.125)+((1/T$7)*(1/T$7)))+$C$6))</f>
        <v>12.6067455392248</v>
      </c>
      <c r="U22" s="81" t="n">
        <f aca="false">2*U$7*(2*(SQRT((0.125*0.125)+((1/U$7)*(1/U$7)))+$C$6))</f>
        <v>13.2504326049457</v>
      </c>
      <c r="V22" s="81" t="n">
        <f aca="false">2*V$7*(2*(SQRT((0.125*0.125)+((1/V$7)*(1/V$7)))+$C$6))</f>
        <v>13.8983152451465</v>
      </c>
      <c r="W22" s="81" t="n">
        <f aca="false">2*W$7*(2*(SQRT((0.125*0.125)+((1/W$7)*(1/W$7)))+$C$6))</f>
        <v>14.5498571733241</v>
      </c>
      <c r="X22" s="81" t="n">
        <f aca="false">2*X$7*(2*(SQRT((0.125*0.125)+((1/X$7)*(1/X$7)))+$C$6))</f>
        <v>15.20460646413</v>
      </c>
      <c r="Y22" s="81" t="n">
        <f aca="false">2*Y$7*(2*(SQRT((0.125*0.125)+((1/Y$7)*(1/Y$7)))+$C$6))</f>
        <v>15.8621802256803</v>
      </c>
      <c r="Z22" s="81" t="n">
        <f aca="false">2*Z$7*(2*(SQRT((0.125*0.125)+((1/Z$7)*(1/Z$7)))+$C$6))</f>
        <v>16.5222523547993</v>
      </c>
      <c r="AA22" s="81" t="n">
        <f aca="false">2*AA$7*(2*(SQRT((0.125*0.125)+((1/AA$7)*(1/AA$7)))+$C$6))</f>
        <v>17.1845437115397</v>
      </c>
    </row>
    <row r="23" customFormat="false" ht="15" hidden="false" customHeight="false" outlineLevel="0" collapsed="false">
      <c r="A23" s="16" t="n">
        <v>16</v>
      </c>
      <c r="B23" s="46" t="str">
        <f aca="false">'Stitch Library'!B21</f>
        <v>406 1/8"m Btm Cover</v>
      </c>
      <c r="H23" s="81" t="n">
        <f aca="false">7+(2*H$7*(2*$C$6+0.125))</f>
        <v>9.19488188976378</v>
      </c>
      <c r="I23" s="81" t="n">
        <f aca="false">7+(2*I$7*(2*$C$6+0.125))</f>
        <v>9.63385826771654</v>
      </c>
      <c r="J23" s="81" t="n">
        <f aca="false">7+(2*J$7*(2*$C$6+0.125))</f>
        <v>10.0728346456693</v>
      </c>
      <c r="K23" s="81" t="n">
        <f aca="false">7+(2*K$7*(2*$C$6+0.125))</f>
        <v>10.511811023622</v>
      </c>
      <c r="L23" s="81" t="n">
        <f aca="false">7+(2*L$7*(2*$C$6+0.125))</f>
        <v>10.9507874015748</v>
      </c>
      <c r="M23" s="81" t="n">
        <f aca="false">7+(2*M$7*(2*$C$6+0.125))</f>
        <v>11.3897637795276</v>
      </c>
      <c r="N23" s="81" t="n">
        <f aca="false">7+(2*N$7*(2*$C$6+0.125))</f>
        <v>11.8287401574803</v>
      </c>
      <c r="O23" s="81" t="n">
        <f aca="false">7+(2*O$7*(2*$C$6+0.125))</f>
        <v>12.2677165354331</v>
      </c>
      <c r="P23" s="81" t="n">
        <f aca="false">7+(2*P$7*(2*$C$6+0.125))</f>
        <v>12.7066929133858</v>
      </c>
      <c r="Q23" s="81" t="n">
        <f aca="false">7+(2*Q$7*(2*$C$6+0.125))</f>
        <v>13.1456692913386</v>
      </c>
      <c r="R23" s="81" t="n">
        <f aca="false">7+(2*R$7*(2*$C$6+0.125))</f>
        <v>13.5846456692913</v>
      </c>
      <c r="S23" s="81" t="n">
        <f aca="false">7+(2*S$7*(2*$C$6+0.125))</f>
        <v>14.0236220472441</v>
      </c>
      <c r="T23" s="81" t="n">
        <f aca="false">7+(2*T$7*(2*$C$6+0.125))</f>
        <v>14.4625984251969</v>
      </c>
      <c r="U23" s="81" t="n">
        <f aca="false">7+(2*U$7*(2*$C$6+0.125))</f>
        <v>14.9015748031496</v>
      </c>
      <c r="V23" s="81" t="n">
        <f aca="false">7+(2*V$7*(2*$C$6+0.125))</f>
        <v>15.3405511811024</v>
      </c>
      <c r="W23" s="81" t="n">
        <f aca="false">7+(2*W$7*(2*$C$6+0.125))</f>
        <v>15.7795275590551</v>
      </c>
      <c r="X23" s="81" t="n">
        <f aca="false">7+(2*X$7*(2*$C$6+0.125))</f>
        <v>16.2185039370079</v>
      </c>
      <c r="Y23" s="81" t="n">
        <f aca="false">7+(2*Y$7*(2*$C$6+0.125))</f>
        <v>16.6574803149606</v>
      </c>
      <c r="Z23" s="81" t="n">
        <f aca="false">7+(2*Z$7*(2*$C$6+0.125))</f>
        <v>17.0964566929134</v>
      </c>
      <c r="AA23" s="81" t="n">
        <f aca="false">7+(2*AA$7*(2*$C$6+0.125))</f>
        <v>17.5354330708661</v>
      </c>
    </row>
    <row r="24" customFormat="false" ht="15" hidden="false" customHeight="false" outlineLevel="0" collapsed="false">
      <c r="A24" s="16" t="n">
        <v>17</v>
      </c>
      <c r="B24" s="46" t="str">
        <f aca="false">'Stitch Library'!B22</f>
        <v>406 3/16" Btm Cover</v>
      </c>
      <c r="H24" s="81" t="n">
        <f aca="false">7+(2*H$7*(2*$C$6+0.188))</f>
        <v>9.82488188976378</v>
      </c>
      <c r="I24" s="81" t="n">
        <f aca="false">7+(2*I$7*(2*$C$6+0.188))</f>
        <v>10.3898582677165</v>
      </c>
      <c r="J24" s="81" t="n">
        <f aca="false">7+(2*J$7*(2*$C$6+0.188))</f>
        <v>10.9548346456693</v>
      </c>
      <c r="K24" s="81" t="n">
        <f aca="false">7+(2*K$7*(2*$C$6+0.188))</f>
        <v>11.519811023622</v>
      </c>
      <c r="L24" s="81" t="n">
        <f aca="false">7+(2*L$7*(2*$C$6+0.188))</f>
        <v>12.0847874015748</v>
      </c>
      <c r="M24" s="81" t="n">
        <f aca="false">7+(2*M$7*(2*$C$6+0.188))</f>
        <v>12.6497637795276</v>
      </c>
      <c r="N24" s="81" t="n">
        <f aca="false">7+(2*N$7*(2*$C$6+0.188))</f>
        <v>13.2147401574803</v>
      </c>
      <c r="O24" s="81" t="n">
        <f aca="false">7+(2*O$7*(2*$C$6+0.188))</f>
        <v>13.7797165354331</v>
      </c>
      <c r="P24" s="81" t="n">
        <f aca="false">7+(2*P$7*(2*$C$6+0.188))</f>
        <v>14.3446929133858</v>
      </c>
      <c r="Q24" s="81" t="n">
        <f aca="false">7+(2*Q$7*(2*$C$6+0.188))</f>
        <v>14.9096692913386</v>
      </c>
      <c r="R24" s="81" t="n">
        <f aca="false">7+(2*R$7*(2*$C$6+0.188))</f>
        <v>15.4746456692913</v>
      </c>
      <c r="S24" s="81" t="n">
        <f aca="false">7+(2*S$7*(2*$C$6+0.188))</f>
        <v>16.0396220472441</v>
      </c>
      <c r="T24" s="81" t="n">
        <f aca="false">7+(2*T$7*(2*$C$6+0.188))</f>
        <v>16.6045984251969</v>
      </c>
      <c r="U24" s="81" t="n">
        <f aca="false">7+(2*U$7*(2*$C$6+0.188))</f>
        <v>17.1695748031496</v>
      </c>
      <c r="V24" s="81" t="n">
        <f aca="false">7+(2*V$7*(2*$C$6+0.188))</f>
        <v>17.7345511811024</v>
      </c>
      <c r="W24" s="81" t="n">
        <f aca="false">7+(2*W$7*(2*$C$6+0.188))</f>
        <v>18.2995275590551</v>
      </c>
      <c r="X24" s="81" t="n">
        <f aca="false">7+(2*X$7*(2*$C$6+0.188))</f>
        <v>18.8645039370079</v>
      </c>
      <c r="Y24" s="81" t="n">
        <f aca="false">7+(2*Y$7*(2*$C$6+0.188))</f>
        <v>19.4294803149606</v>
      </c>
      <c r="Z24" s="81" t="n">
        <f aca="false">7+(2*Z$7*(2*$C$6+0.188))</f>
        <v>19.9944566929134</v>
      </c>
      <c r="AA24" s="81" t="n">
        <f aca="false">7+(2*AA$7*(2*$C$6+0.188))</f>
        <v>20.5594330708661</v>
      </c>
    </row>
    <row r="25" customFormat="false" ht="15" hidden="false" customHeight="false" outlineLevel="0" collapsed="false">
      <c r="A25" s="16" t="n">
        <v>18</v>
      </c>
      <c r="B25" s="46" t="str">
        <f aca="false">'Stitch Library'!B23</f>
        <v>406 1/4" Btm Cover</v>
      </c>
      <c r="H25" s="81" t="n">
        <f aca="false">7+(2*H$7*(2*$C$6+0.25))</f>
        <v>10.4448818897638</v>
      </c>
      <c r="I25" s="81" t="n">
        <f aca="false">7+(2*I$7*(2*$C$6+0.25))</f>
        <v>11.1338582677165</v>
      </c>
      <c r="J25" s="81" t="n">
        <f aca="false">7+(2*J$7*(2*$C$6+0.25))</f>
        <v>11.8228346456693</v>
      </c>
      <c r="K25" s="81" t="n">
        <f aca="false">7+(2*K$7*(2*$C$6+0.25))</f>
        <v>12.511811023622</v>
      </c>
      <c r="L25" s="81" t="n">
        <f aca="false">7+(2*L$7*(2*$C$6+0.25))</f>
        <v>13.2007874015748</v>
      </c>
      <c r="M25" s="81" t="n">
        <f aca="false">7+(2*M$7*(2*$C$6+0.25))</f>
        <v>13.8897637795276</v>
      </c>
      <c r="N25" s="81" t="n">
        <f aca="false">7+(2*N$7*(2*$C$6+0.25))</f>
        <v>14.5787401574803</v>
      </c>
      <c r="O25" s="81" t="n">
        <f aca="false">7+(2*O$7*(2*$C$6+0.25))</f>
        <v>15.2677165354331</v>
      </c>
      <c r="P25" s="81" t="n">
        <f aca="false">7+(2*P$7*(2*$C$6+0.25))</f>
        <v>15.9566929133858</v>
      </c>
      <c r="Q25" s="81" t="n">
        <f aca="false">7+(2*Q$7*(2*$C$6+0.25))</f>
        <v>16.6456692913386</v>
      </c>
      <c r="R25" s="81" t="n">
        <f aca="false">7+(2*R$7*(2*$C$6+0.25))</f>
        <v>17.3346456692913</v>
      </c>
      <c r="S25" s="81" t="n">
        <f aca="false">7+(2*S$7*(2*$C$6+0.25))</f>
        <v>18.0236220472441</v>
      </c>
      <c r="T25" s="81" t="n">
        <f aca="false">7+(2*T$7*(2*$C$6+0.25))</f>
        <v>18.7125984251969</v>
      </c>
      <c r="U25" s="81" t="n">
        <f aca="false">7+(2*U$7*(2*$C$6+0.25))</f>
        <v>19.4015748031496</v>
      </c>
      <c r="V25" s="81" t="n">
        <f aca="false">7+(2*V$7*(2*$C$6+0.25))</f>
        <v>20.0905511811024</v>
      </c>
      <c r="W25" s="81" t="n">
        <f aca="false">7+(2*W$7*(2*$C$6+0.25))</f>
        <v>20.7795275590551</v>
      </c>
      <c r="X25" s="81" t="n">
        <f aca="false">7+(2*X$7*(2*$C$6+0.25))</f>
        <v>21.4685039370079</v>
      </c>
      <c r="Y25" s="81" t="n">
        <f aca="false">7+(2*Y$7*(2*$C$6+0.25))</f>
        <v>22.1574803149606</v>
      </c>
      <c r="Z25" s="81" t="n">
        <f aca="false">7+(2*Z$7*(2*$C$6+0.25))</f>
        <v>22.8464566929134</v>
      </c>
      <c r="AA25" s="81" t="n">
        <f aca="false">7+(2*AA$7*(2*$C$6+0.25))</f>
        <v>23.5354330708661</v>
      </c>
    </row>
    <row r="26" customFormat="false" ht="15" hidden="false" customHeight="false" outlineLevel="0" collapsed="false">
      <c r="A26" s="16" t="n">
        <v>19</v>
      </c>
      <c r="B26" s="46" t="str">
        <f aca="false">'Stitch Library'!B24</f>
        <v>407 3Ndl Btm Cover</v>
      </c>
      <c r="H26" s="81" t="n">
        <f aca="false">9+2*H$7*(3*$C$6+0.25)</f>
        <v>12.9173228346457</v>
      </c>
      <c r="I26" s="81" t="n">
        <f aca="false">9+2*I$7*(3*$C$6+0.25)</f>
        <v>13.7007874015748</v>
      </c>
      <c r="J26" s="81" t="n">
        <f aca="false">9+2*J$7*(3*$C$6+0.25)</f>
        <v>14.4842519685039</v>
      </c>
      <c r="K26" s="81" t="n">
        <f aca="false">9+2*K$7*(3*$C$6+0.25)</f>
        <v>15.2677165354331</v>
      </c>
      <c r="L26" s="81" t="n">
        <f aca="false">9+2*L$7*(3*$C$6+0.25)</f>
        <v>16.0511811023622</v>
      </c>
      <c r="M26" s="81" t="n">
        <f aca="false">9+2*M$7*(3*$C$6+0.25)</f>
        <v>16.8346456692913</v>
      </c>
      <c r="N26" s="81" t="n">
        <f aca="false">9+2*N$7*(3*$C$6+0.25)</f>
        <v>17.6181102362205</v>
      </c>
      <c r="O26" s="81" t="n">
        <f aca="false">9+2*O$7*(3*$C$6+0.25)</f>
        <v>18.4015748031496</v>
      </c>
      <c r="P26" s="81" t="n">
        <f aca="false">9+2*P$7*(3*$C$6+0.25)</f>
        <v>19.1850393700787</v>
      </c>
      <c r="Q26" s="81" t="n">
        <f aca="false">9+2*Q$7*(3*$C$6+0.25)</f>
        <v>19.9685039370079</v>
      </c>
      <c r="R26" s="81" t="n">
        <f aca="false">9+2*R$7*(3*$C$6+0.25)</f>
        <v>20.751968503937</v>
      </c>
      <c r="S26" s="81" t="n">
        <f aca="false">9+2*S$7*(3*$C$6+0.25)</f>
        <v>21.5354330708661</v>
      </c>
      <c r="T26" s="81" t="n">
        <f aca="false">9+2*T$7*(3*$C$6+0.25)</f>
        <v>22.3188976377953</v>
      </c>
      <c r="U26" s="81" t="n">
        <f aca="false">9+2*U$7*(3*$C$6+0.25)</f>
        <v>23.1023622047244</v>
      </c>
      <c r="V26" s="81" t="n">
        <f aca="false">9+2*V$7*(3*$C$6+0.25)</f>
        <v>23.8858267716535</v>
      </c>
      <c r="W26" s="81" t="n">
        <f aca="false">9+2*W$7*(3*$C$6+0.25)</f>
        <v>24.6692913385827</v>
      </c>
      <c r="X26" s="81" t="n">
        <f aca="false">9+2*X$7*(3*$C$6+0.25)</f>
        <v>25.4527559055118</v>
      </c>
      <c r="Y26" s="81" t="n">
        <f aca="false">9+2*Y$7*(3*$C$6+0.25)</f>
        <v>26.2362204724409</v>
      </c>
      <c r="Z26" s="81" t="n">
        <f aca="false">9+2*Z$7*(3*$C$6+0.25)</f>
        <v>27.0196850393701</v>
      </c>
      <c r="AA26" s="81" t="n">
        <f aca="false">9+2*AA$7*(3*$C$6+0.25)</f>
        <v>27.8031496062992</v>
      </c>
    </row>
    <row r="27" customFormat="false" ht="15" hidden="false" customHeight="false" outlineLevel="0" collapsed="false">
      <c r="A27" s="16" t="n">
        <v>20</v>
      </c>
      <c r="B27" s="46" t="str">
        <f aca="false">'Stitch Library'!B25</f>
        <v>408 Pkt Facings</v>
      </c>
      <c r="H27" s="80" t="n">
        <v>15.35</v>
      </c>
      <c r="I27" s="80" t="n">
        <v>16.82</v>
      </c>
      <c r="J27" s="80" t="n">
        <v>18.29</v>
      </c>
      <c r="K27" s="80" t="n">
        <v>19.76</v>
      </c>
      <c r="L27" s="80" t="n">
        <v>21.23</v>
      </c>
      <c r="M27" s="80" t="n">
        <v>22.7</v>
      </c>
      <c r="N27" s="80" t="n">
        <v>24.17</v>
      </c>
      <c r="O27" s="80" t="n">
        <v>25.64</v>
      </c>
      <c r="P27" s="80" t="n">
        <v>27.11</v>
      </c>
      <c r="Q27" s="80" t="n">
        <v>28.58</v>
      </c>
      <c r="R27" s="80" t="n">
        <v>30.05</v>
      </c>
      <c r="S27" s="80" t="n">
        <v>31.52</v>
      </c>
      <c r="T27" s="80" t="n">
        <v>32.99</v>
      </c>
      <c r="U27" s="80" t="n">
        <v>34.46</v>
      </c>
      <c r="V27" s="80" t="n">
        <v>35.93</v>
      </c>
      <c r="W27" s="80" t="n">
        <v>37.4</v>
      </c>
      <c r="X27" s="80" t="n">
        <v>38.87</v>
      </c>
      <c r="Y27" s="80" t="n">
        <v>40.34</v>
      </c>
      <c r="Z27" s="80" t="n">
        <v>41.81</v>
      </c>
      <c r="AA27" s="80" t="n">
        <v>43.28</v>
      </c>
    </row>
    <row r="28" customFormat="false" ht="15" hidden="false" customHeight="false" outlineLevel="0" collapsed="false">
      <c r="A28" s="16" t="n">
        <v>21</v>
      </c>
      <c r="B28" s="46" t="str">
        <f aca="false">'Stitch Library'!B26</f>
        <v>411 Picoetta Stitch</v>
      </c>
      <c r="E28" s="80" t="n">
        <v>6.04724409448819</v>
      </c>
      <c r="F28" s="80" t="n">
        <v>9.07086614173228</v>
      </c>
      <c r="G28" s="80" t="n">
        <v>12.0944881889764</v>
      </c>
      <c r="H28" s="80" t="n">
        <v>15.1181102362205</v>
      </c>
    </row>
    <row r="29" customFormat="false" ht="15" hidden="false" customHeight="false" outlineLevel="0" collapsed="false">
      <c r="A29" s="16" t="n">
        <v>22</v>
      </c>
      <c r="B29" s="46" t="str">
        <f aca="false">'Stitch Library'!B27</f>
        <v>503 1/8" 2Thd Serge</v>
      </c>
      <c r="H29" s="81" t="n">
        <f aca="false">4*(H$7*(0.125+$C$6))+2</f>
        <v>5.44488188976378</v>
      </c>
      <c r="I29" s="81" t="n">
        <f aca="false">4*(I$7*(0.125+$C$6))+2</f>
        <v>6.13385826771654</v>
      </c>
      <c r="J29" s="81" t="n">
        <f aca="false">4*(J$7*(0.125+$C$6))+2</f>
        <v>6.82283464566929</v>
      </c>
      <c r="K29" s="81" t="n">
        <f aca="false">4*(K$7*(0.125+$C$6))+2</f>
        <v>7.51181102362205</v>
      </c>
      <c r="L29" s="81" t="n">
        <f aca="false">4*(L$7*(0.125+$C$6))+2</f>
        <v>8.2007874015748</v>
      </c>
      <c r="M29" s="81" t="n">
        <f aca="false">4*(M$7*(0.125+$C$6))+2</f>
        <v>8.88976377952756</v>
      </c>
      <c r="N29" s="81" t="n">
        <f aca="false">4*(N$7*(0.125+$C$6))+2</f>
        <v>9.57874015748032</v>
      </c>
      <c r="O29" s="81" t="n">
        <f aca="false">4*(O$7*(0.125+$C$6))+2</f>
        <v>10.2677165354331</v>
      </c>
      <c r="P29" s="81" t="n">
        <f aca="false">4*(P$7*(0.125+$C$6))+2</f>
        <v>10.9566929133858</v>
      </c>
      <c r="Q29" s="81" t="n">
        <f aca="false">4*(Q$7*(0.125+$C$6))+2</f>
        <v>11.6456692913386</v>
      </c>
      <c r="R29" s="81" t="n">
        <f aca="false">4*(R$7*(0.125+$C$6))+2</f>
        <v>12.3346456692913</v>
      </c>
      <c r="S29" s="81" t="n">
        <f aca="false">4*(S$7*(0.125+$C$6))+2</f>
        <v>13.0236220472441</v>
      </c>
      <c r="T29" s="81" t="n">
        <f aca="false">4*(T$7*(0.125+$C$6))+2</f>
        <v>13.7125984251969</v>
      </c>
      <c r="U29" s="81" t="n">
        <f aca="false">4*(U$7*(0.125+$C$6))+2</f>
        <v>14.4015748031496</v>
      </c>
      <c r="V29" s="81" t="n">
        <f aca="false">4*(V$7*(0.125+$C$6))+2</f>
        <v>15.0905511811024</v>
      </c>
      <c r="W29" s="81" t="n">
        <f aca="false">4*(W$7*(0.125+$C$6))+2</f>
        <v>15.7795275590551</v>
      </c>
      <c r="X29" s="81" t="n">
        <f aca="false">4*(X$7*(0.125+$C$6))+2</f>
        <v>16.4685039370079</v>
      </c>
      <c r="Y29" s="81" t="n">
        <f aca="false">4*(Y$7*(0.125+$C$6))+2</f>
        <v>17.1574803149606</v>
      </c>
      <c r="Z29" s="81" t="n">
        <f aca="false">4*(Z$7*(0.125+$C$6))+2</f>
        <v>17.8464566929134</v>
      </c>
      <c r="AA29" s="81" t="n">
        <f aca="false">4*(AA$7*(0.125+$C$6))+2</f>
        <v>18.5354330708661</v>
      </c>
    </row>
    <row r="30" customFormat="false" ht="15" hidden="false" customHeight="false" outlineLevel="0" collapsed="false">
      <c r="A30" s="16" t="n">
        <v>23</v>
      </c>
      <c r="B30" s="46" t="str">
        <f aca="false">'Stitch Library'!B28</f>
        <v>503 3/16" 2 Thd Serge</v>
      </c>
      <c r="H30" s="81" t="n">
        <f aca="false">4*(H$7*(0.188+$C$6))+2</f>
        <v>6.70488188976378</v>
      </c>
      <c r="I30" s="81" t="n">
        <f aca="false">4*(I$7*(0.188+$C$6))+2</f>
        <v>7.64585826771654</v>
      </c>
      <c r="J30" s="81" t="n">
        <f aca="false">4*(J$7*(0.188+$C$6))+2</f>
        <v>8.58683464566929</v>
      </c>
      <c r="K30" s="81" t="n">
        <f aca="false">4*(K$7*(0.188+$C$6))+2</f>
        <v>9.52781102362205</v>
      </c>
      <c r="L30" s="81" t="n">
        <f aca="false">4*(L$7*(0.188+$C$6))+2</f>
        <v>10.4687874015748</v>
      </c>
      <c r="M30" s="81" t="n">
        <f aca="false">4*(M$7*(0.188+$C$6))+2</f>
        <v>11.4097637795276</v>
      </c>
      <c r="N30" s="81" t="n">
        <f aca="false">4*(N$7*(0.188+$C$6))+2</f>
        <v>12.3507401574803</v>
      </c>
      <c r="O30" s="81" t="n">
        <f aca="false">4*(O$7*(0.188+$C$6))+2</f>
        <v>13.2917165354331</v>
      </c>
      <c r="P30" s="81" t="n">
        <f aca="false">4*(P$7*(0.188+$C$6))+2</f>
        <v>14.2326929133858</v>
      </c>
      <c r="Q30" s="81" t="n">
        <f aca="false">4*(Q$7*(0.188+$C$6))+2</f>
        <v>15.1736692913386</v>
      </c>
      <c r="R30" s="81" t="n">
        <f aca="false">4*(R$7*(0.188+$C$6))+2</f>
        <v>16.1146456692913</v>
      </c>
      <c r="S30" s="81" t="n">
        <f aca="false">4*(S$7*(0.188+$C$6))+2</f>
        <v>17.0556220472441</v>
      </c>
      <c r="T30" s="81" t="n">
        <f aca="false">4*(T$7*(0.188+$C$6))+2</f>
        <v>17.9965984251969</v>
      </c>
      <c r="U30" s="81" t="n">
        <f aca="false">4*(U$7*(0.188+$C$6))+2</f>
        <v>18.9375748031496</v>
      </c>
      <c r="V30" s="81" t="n">
        <f aca="false">4*(V$7*(0.188+$C$6))+2</f>
        <v>19.8785511811024</v>
      </c>
      <c r="W30" s="81" t="n">
        <f aca="false">4*(W$7*(0.188+$C$6))+2</f>
        <v>20.8195275590551</v>
      </c>
      <c r="X30" s="81" t="n">
        <f aca="false">4*(X$7*(0.188+$C$6))+2</f>
        <v>21.7605039370079</v>
      </c>
      <c r="Y30" s="81" t="n">
        <f aca="false">4*(Y$7*(0.188+$C$6))+2</f>
        <v>22.7014803149606</v>
      </c>
      <c r="Z30" s="81" t="n">
        <f aca="false">4*(Z$7*(0.188+$C$6))+2</f>
        <v>23.6424566929134</v>
      </c>
      <c r="AA30" s="81" t="n">
        <f aca="false">4*(AA$7*(0.188+$C$6))+2</f>
        <v>24.5834330708661</v>
      </c>
    </row>
    <row r="31" customFormat="false" ht="15" hidden="false" customHeight="false" outlineLevel="0" collapsed="false">
      <c r="A31" s="16" t="n">
        <v>24</v>
      </c>
      <c r="B31" s="46" t="str">
        <f aca="false">'Stitch Library'!B29</f>
        <v>503 1/4" 2 Thd Serge</v>
      </c>
      <c r="H31" s="81" t="n">
        <f aca="false">4*(H$7*(0.25+$C$6))+2</f>
        <v>7.94488188976378</v>
      </c>
      <c r="I31" s="81" t="n">
        <f aca="false">4*(I$7*(0.25+$C$6))+2</f>
        <v>9.13385826771654</v>
      </c>
      <c r="J31" s="81" t="n">
        <f aca="false">4*(J$7*(0.25+$C$6))+2</f>
        <v>10.3228346456693</v>
      </c>
      <c r="K31" s="81" t="n">
        <f aca="false">4*(K$7*(0.25+$C$6))+2</f>
        <v>11.511811023622</v>
      </c>
      <c r="L31" s="81" t="n">
        <f aca="false">4*(L$7*(0.25+$C$6))+2</f>
        <v>12.7007874015748</v>
      </c>
      <c r="M31" s="81" t="n">
        <f aca="false">4*(M$7*(0.25+$C$6))+2</f>
        <v>13.8897637795276</v>
      </c>
      <c r="N31" s="81" t="n">
        <f aca="false">4*(N$7*(0.25+$C$6))+2</f>
        <v>15.0787401574803</v>
      </c>
      <c r="O31" s="81" t="n">
        <f aca="false">4*(O$7*(0.25+$C$6))+2</f>
        <v>16.2677165354331</v>
      </c>
      <c r="P31" s="81" t="n">
        <f aca="false">4*(P$7*(0.25+$C$6))+2</f>
        <v>17.4566929133858</v>
      </c>
      <c r="Q31" s="81" t="n">
        <f aca="false">4*(Q$7*(0.25+$C$6))+2</f>
        <v>18.6456692913386</v>
      </c>
      <c r="R31" s="81" t="n">
        <f aca="false">4*(R$7*(0.25+$C$6))+2</f>
        <v>19.8346456692913</v>
      </c>
      <c r="S31" s="81" t="n">
        <f aca="false">4*(S$7*(0.25+$C$6))+2</f>
        <v>21.0236220472441</v>
      </c>
      <c r="T31" s="81" t="n">
        <f aca="false">4*(T$7*(0.25+$C$6))+2</f>
        <v>22.2125984251969</v>
      </c>
      <c r="U31" s="81" t="n">
        <f aca="false">4*(U$7*(0.25+$C$6))+2</f>
        <v>23.4015748031496</v>
      </c>
      <c r="V31" s="81" t="n">
        <f aca="false">4*(V$7*(0.25+$C$6))+2</f>
        <v>24.5905511811024</v>
      </c>
      <c r="W31" s="81" t="n">
        <f aca="false">4*(W$7*(0.25+$C$6))+2</f>
        <v>25.7795275590551</v>
      </c>
      <c r="X31" s="81" t="n">
        <f aca="false">4*(X$7*(0.25+$C$6))+2</f>
        <v>26.9685039370079</v>
      </c>
      <c r="Y31" s="81" t="n">
        <f aca="false">4*(Y$7*(0.25+$C$6))+2</f>
        <v>28.1574803149606</v>
      </c>
      <c r="Z31" s="81" t="n">
        <f aca="false">4*(Z$7*(0.25+$C$6))+2</f>
        <v>29.3464566929134</v>
      </c>
      <c r="AA31" s="81" t="n">
        <f aca="false">4*(AA$7*(0.25+$C$6))+2</f>
        <v>30.5354330708661</v>
      </c>
    </row>
    <row r="32" customFormat="false" ht="15" hidden="false" customHeight="false" outlineLevel="0" collapsed="false">
      <c r="A32" s="16" t="n">
        <v>25</v>
      </c>
      <c r="B32" s="46" t="str">
        <f aca="false">'Stitch Library'!B30</f>
        <v>504 1/8" 1 Ndl Overedge</v>
      </c>
      <c r="H32" s="81" t="n">
        <f aca="false">4*(H$7*(0.125+$C$6))+5</f>
        <v>8.44488188976378</v>
      </c>
      <c r="I32" s="81" t="n">
        <f aca="false">4*(I$7*(0.125+$C$6))+5</f>
        <v>9.13385826771654</v>
      </c>
      <c r="J32" s="81" t="n">
        <f aca="false">4*(J$7*(0.125+$C$6))+5</f>
        <v>9.82283464566929</v>
      </c>
      <c r="K32" s="81" t="n">
        <f aca="false">4*(K$7*(0.125+$C$6))+5</f>
        <v>10.511811023622</v>
      </c>
      <c r="L32" s="81" t="n">
        <f aca="false">4*(L$7*(0.125+$C$6))+5</f>
        <v>11.2007874015748</v>
      </c>
      <c r="M32" s="81" t="n">
        <f aca="false">4*(M$7*(0.125+$C$6))+5</f>
        <v>11.8897637795276</v>
      </c>
      <c r="N32" s="81" t="n">
        <f aca="false">4*(N$7*(0.125+$C$6))+5</f>
        <v>12.5787401574803</v>
      </c>
      <c r="O32" s="81" t="n">
        <f aca="false">4*(O$7*(0.125+$C$6))+5</f>
        <v>13.2677165354331</v>
      </c>
      <c r="P32" s="81" t="n">
        <f aca="false">4*(P$7*(0.125+$C$6))+5</f>
        <v>13.9566929133858</v>
      </c>
      <c r="Q32" s="81" t="n">
        <f aca="false">4*(Q$7*(0.125+$C$6))+5</f>
        <v>14.6456692913386</v>
      </c>
      <c r="R32" s="81" t="n">
        <f aca="false">4*(R$7*(0.125+$C$6))+5</f>
        <v>15.3346456692913</v>
      </c>
      <c r="S32" s="81" t="n">
        <f aca="false">4*(S$7*(0.125+$C$6))+5</f>
        <v>16.0236220472441</v>
      </c>
      <c r="T32" s="81" t="n">
        <f aca="false">4*(T$7*(0.125+$C$6))+5</f>
        <v>16.7125984251969</v>
      </c>
      <c r="U32" s="81" t="n">
        <f aca="false">4*(U$7*(0.125+$C$6))+5</f>
        <v>17.4015748031496</v>
      </c>
      <c r="V32" s="81" t="n">
        <f aca="false">4*(V$7*(0.125+$C$6))+5</f>
        <v>18.0905511811024</v>
      </c>
      <c r="W32" s="81" t="n">
        <f aca="false">4*(W$7*(0.125+$C$6))+5</f>
        <v>18.7795275590551</v>
      </c>
      <c r="X32" s="81" t="n">
        <f aca="false">4*(X$7*(0.125+$C$6))+5</f>
        <v>19.4685039370079</v>
      </c>
      <c r="Y32" s="81" t="n">
        <f aca="false">4*(Y$7*(0.125+$C$6))+5</f>
        <v>20.1574803149606</v>
      </c>
      <c r="Z32" s="81" t="n">
        <f aca="false">4*(Z$7*(0.125+$C$6))+5</f>
        <v>20.8464566929134</v>
      </c>
      <c r="AA32" s="81" t="n">
        <f aca="false">4*(AA$7*(0.125+$C$6))+5</f>
        <v>21.5354330708661</v>
      </c>
    </row>
    <row r="33" customFormat="false" ht="15" hidden="false" customHeight="false" outlineLevel="0" collapsed="false">
      <c r="A33" s="16" t="n">
        <v>26</v>
      </c>
      <c r="B33" s="46" t="str">
        <f aca="false">'Stitch Library'!B31</f>
        <v>504 3/16" 1 Ndl Overedge</v>
      </c>
      <c r="H33" s="81" t="n">
        <f aca="false">4*(H$7*(0.188+$C$6))+5</f>
        <v>9.70488188976378</v>
      </c>
      <c r="I33" s="81" t="n">
        <f aca="false">4*(I$7*(0.188+$C$6))+5</f>
        <v>10.6458582677165</v>
      </c>
      <c r="J33" s="81" t="n">
        <f aca="false">4*(J$7*(0.188+$C$6))+5</f>
        <v>11.5868346456693</v>
      </c>
      <c r="K33" s="81" t="n">
        <f aca="false">4*(K$7*(0.188+$C$6))+5</f>
        <v>12.527811023622</v>
      </c>
      <c r="L33" s="81" t="n">
        <f aca="false">4*(L$7*(0.188+$C$6))+5</f>
        <v>13.4687874015748</v>
      </c>
      <c r="M33" s="81" t="n">
        <f aca="false">4*(M$7*(0.188+$C$6))+5</f>
        <v>14.4097637795276</v>
      </c>
      <c r="N33" s="81" t="n">
        <f aca="false">4*(N$7*(0.188+$C$6))+5</f>
        <v>15.3507401574803</v>
      </c>
      <c r="O33" s="81" t="n">
        <f aca="false">4*(O$7*(0.188+$C$6))+5</f>
        <v>16.2917165354331</v>
      </c>
      <c r="P33" s="81" t="n">
        <f aca="false">4*(P$7*(0.188+$C$6))+5</f>
        <v>17.2326929133858</v>
      </c>
      <c r="Q33" s="81" t="n">
        <f aca="false">4*(Q$7*(0.188+$C$6))+5</f>
        <v>18.1736692913386</v>
      </c>
      <c r="R33" s="81" t="n">
        <f aca="false">4*(R$7*(0.188+$C$6))+5</f>
        <v>19.1146456692913</v>
      </c>
      <c r="S33" s="81" t="n">
        <f aca="false">4*(S$7*(0.188+$C$6))+5</f>
        <v>20.0556220472441</v>
      </c>
      <c r="T33" s="81" t="n">
        <f aca="false">4*(T$7*(0.188+$C$6))+5</f>
        <v>20.9965984251969</v>
      </c>
      <c r="U33" s="81" t="n">
        <f aca="false">4*(U$7*(0.188+$C$6))+5</f>
        <v>21.9375748031496</v>
      </c>
      <c r="V33" s="81" t="n">
        <f aca="false">4*(V$7*(0.188+$C$6))+5</f>
        <v>22.8785511811024</v>
      </c>
      <c r="W33" s="81" t="n">
        <f aca="false">4*(W$7*(0.188+$C$6))+5</f>
        <v>23.8195275590551</v>
      </c>
      <c r="X33" s="81" t="n">
        <f aca="false">4*(X$7*(0.188+$C$6))+5</f>
        <v>24.7605039370079</v>
      </c>
      <c r="Y33" s="81" t="n">
        <f aca="false">4*(Y$7*(0.188+$C$6))+5</f>
        <v>25.7014803149606</v>
      </c>
      <c r="Z33" s="81" t="n">
        <f aca="false">4*(Z$7*(0.188+$C$6))+5</f>
        <v>26.6424566929134</v>
      </c>
      <c r="AA33" s="81" t="n">
        <f aca="false">4*(AA$7*(0.188+$C$6))+5</f>
        <v>27.5834330708661</v>
      </c>
    </row>
    <row r="34" customFormat="false" ht="15" hidden="false" customHeight="false" outlineLevel="0" collapsed="false">
      <c r="A34" s="16" t="n">
        <v>27</v>
      </c>
      <c r="B34" s="46" t="str">
        <f aca="false">'Stitch Library'!B32</f>
        <v>504 1/4" 1 Ndl Overedge</v>
      </c>
      <c r="H34" s="81" t="n">
        <f aca="false">4*(H$7*(0.25+$C$6))+5</f>
        <v>10.9448818897638</v>
      </c>
      <c r="I34" s="81" t="n">
        <f aca="false">4*(I$7*(0.25+$C$6))+5</f>
        <v>12.1338582677165</v>
      </c>
      <c r="J34" s="81" t="n">
        <f aca="false">4*(J$7*(0.25+$C$6))+5</f>
        <v>13.3228346456693</v>
      </c>
      <c r="K34" s="81" t="n">
        <f aca="false">4*(K$7*(0.25+$C$6))+5</f>
        <v>14.511811023622</v>
      </c>
      <c r="L34" s="81" t="n">
        <f aca="false">4*(L$7*(0.25+$C$6))+5</f>
        <v>15.7007874015748</v>
      </c>
      <c r="M34" s="81" t="n">
        <f aca="false">4*(M$7*(0.25+$C$6))+5</f>
        <v>16.8897637795276</v>
      </c>
      <c r="N34" s="81" t="n">
        <f aca="false">4*(N$7*(0.25+$C$6))+5</f>
        <v>18.0787401574803</v>
      </c>
      <c r="O34" s="81" t="n">
        <f aca="false">4*(O$7*(0.25+$C$6))+5</f>
        <v>19.2677165354331</v>
      </c>
      <c r="P34" s="81" t="n">
        <f aca="false">4*(P$7*(0.25+$C$6))+5</f>
        <v>20.4566929133858</v>
      </c>
      <c r="Q34" s="81" t="n">
        <f aca="false">4*(Q$7*(0.25+$C$6))+5</f>
        <v>21.6456692913386</v>
      </c>
      <c r="R34" s="81" t="n">
        <f aca="false">4*(R$7*(0.25+$C$6))+5</f>
        <v>22.8346456692913</v>
      </c>
      <c r="S34" s="81" t="n">
        <f aca="false">4*(S$7*(0.25+$C$6))+5</f>
        <v>24.0236220472441</v>
      </c>
      <c r="T34" s="81" t="n">
        <f aca="false">4*(T$7*(0.25+$C$6))+5</f>
        <v>25.2125984251969</v>
      </c>
      <c r="U34" s="81" t="n">
        <f aca="false">4*(U$7*(0.25+$C$6))+5</f>
        <v>26.4015748031496</v>
      </c>
      <c r="V34" s="81" t="n">
        <f aca="false">4*(V$7*(0.25+$C$6))+5</f>
        <v>27.5905511811024</v>
      </c>
      <c r="W34" s="81" t="n">
        <f aca="false">4*(W$7*(0.25+$C$6))+5</f>
        <v>28.7795275590551</v>
      </c>
      <c r="X34" s="81" t="n">
        <f aca="false">4*(X$7*(0.25+$C$6))+5</f>
        <v>29.9685039370079</v>
      </c>
      <c r="Y34" s="81" t="n">
        <f aca="false">4*(Y$7*(0.25+$C$6))+5</f>
        <v>31.1574803149606</v>
      </c>
      <c r="Z34" s="81" t="n">
        <f aca="false">4*(Z$7*(0.25+$C$6))+5</f>
        <v>32.3464566929134</v>
      </c>
      <c r="AA34" s="81" t="n">
        <f aca="false">4*(AA$7*(0.25+$C$6))+5</f>
        <v>33.5354330708662</v>
      </c>
    </row>
    <row r="35" customFormat="false" ht="15" hidden="false" customHeight="false" outlineLevel="0" collapsed="false">
      <c r="A35" s="16" t="n">
        <v>28</v>
      </c>
      <c r="B35" s="46" t="str">
        <f aca="false">'Stitch Library'!B33</f>
        <v>512 (3/16) 2 Ndl Overedge</v>
      </c>
      <c r="H35" s="81" t="n">
        <f aca="false">5+6*(H$7*$C$6)+2.18*(0.188*H$7)</f>
        <v>8.46652283464567</v>
      </c>
      <c r="I35" s="81" t="n">
        <f aca="false">5+6*(I$7*$C$6)+2.18*(0.188*I$7)</f>
        <v>9.1598274015748</v>
      </c>
      <c r="J35" s="81" t="n">
        <f aca="false">5+6*(J$7*$C$6)+2.18*(0.188*J$7)</f>
        <v>9.85313196850394</v>
      </c>
      <c r="K35" s="81" t="n">
        <f aca="false">5+6*(K$7*$C$6)+2.18*(0.188*K$7)</f>
        <v>10.5464365354331</v>
      </c>
      <c r="L35" s="81" t="n">
        <f aca="false">5+6*(L$7*$C$6)+2.18*(0.188*L$7)</f>
        <v>11.2397411023622</v>
      </c>
      <c r="M35" s="81" t="n">
        <f aca="false">5+6*(M$7*$C$6)+2.18*(0.188*M$7)</f>
        <v>11.9330456692913</v>
      </c>
      <c r="N35" s="81" t="n">
        <f aca="false">5+6*(N$7*$C$6)+2.18*(0.188*N$7)</f>
        <v>12.6263502362205</v>
      </c>
      <c r="O35" s="81" t="n">
        <f aca="false">5+6*(O$7*$C$6)+2.18*(0.188*O$7)</f>
        <v>13.3196548031496</v>
      </c>
      <c r="P35" s="81" t="n">
        <f aca="false">5+6*(P$7*$C$6)+2.18*(0.188*P$7)</f>
        <v>14.0129593700787</v>
      </c>
      <c r="Q35" s="81" t="n">
        <f aca="false">5+6*(Q$7*$C$6)+2.18*(0.188*Q$7)</f>
        <v>14.7062639370079</v>
      </c>
      <c r="R35" s="81" t="n">
        <f aca="false">5+6*(R$7*$C$6)+2.18*(0.188*R$7)</f>
        <v>15.399568503937</v>
      </c>
      <c r="S35" s="81" t="n">
        <f aca="false">5+6*(S$7*$C$6)+2.18*(0.188*S$7)</f>
        <v>16.0928730708661</v>
      </c>
      <c r="T35" s="81" t="n">
        <f aca="false">5+6*(T$7*$C$6)+2.18*(0.188*T$7)</f>
        <v>16.7861776377953</v>
      </c>
      <c r="U35" s="81" t="n">
        <f aca="false">5+6*(U$7*$C$6)+2.18*(0.188*U$7)</f>
        <v>17.4794822047244</v>
      </c>
      <c r="V35" s="81" t="n">
        <f aca="false">5+6*(V$7*$C$6)+2.18*(0.188*V$7)</f>
        <v>18.1727867716535</v>
      </c>
      <c r="W35" s="81" t="n">
        <f aca="false">5+6*(W$7*$C$6)+2.18*(0.188*W$7)</f>
        <v>18.8660913385827</v>
      </c>
      <c r="X35" s="81" t="n">
        <f aca="false">5+6*(X$7*$C$6)+2.18*(0.188*X$7)</f>
        <v>19.5593959055118</v>
      </c>
      <c r="Y35" s="81" t="n">
        <f aca="false">5+6*(Y$7*$C$6)+2.18*(0.188*Y$7)</f>
        <v>20.2527004724409</v>
      </c>
      <c r="Z35" s="81" t="n">
        <f aca="false">5+6*(Z$7*$C$6)+2.18*(0.188*Z$7)</f>
        <v>20.9460050393701</v>
      </c>
      <c r="AA35" s="81" t="n">
        <f aca="false">5+6*(AA$7*$C$6)+2.18*(0.188*AA$7)</f>
        <v>21.6393096062992</v>
      </c>
    </row>
    <row r="36" customFormat="false" ht="15" hidden="false" customHeight="false" outlineLevel="0" collapsed="false">
      <c r="A36" s="16" t="n">
        <v>29</v>
      </c>
      <c r="B36" s="46" t="str">
        <f aca="false">'Stitch Library'!B34</f>
        <v>512 (1/4) 2 Ndl Overedge</v>
      </c>
      <c r="H36" s="81" t="n">
        <f aca="false">5+6*(H$7*$C$6)+2.18*(0.25*H$7)</f>
        <v>9.14232283464567</v>
      </c>
      <c r="I36" s="81" t="n">
        <f aca="false">5+6*(I$7*$C$6)+2.18*(0.25*I$7)</f>
        <v>9.9707874015748</v>
      </c>
      <c r="J36" s="81" t="n">
        <f aca="false">5+6*(J$7*$C$6)+2.18*(0.25*J$7)</f>
        <v>10.7992519685039</v>
      </c>
      <c r="K36" s="81" t="n">
        <f aca="false">5+6*(K$7*$C$6)+2.18*(0.25*K$7)</f>
        <v>11.6277165354331</v>
      </c>
      <c r="L36" s="81" t="n">
        <f aca="false">5+6*(L$7*$C$6)+2.18*(0.25*L$7)</f>
        <v>12.4561811023622</v>
      </c>
      <c r="M36" s="81" t="n">
        <f aca="false">5+6*(M$7*$C$6)+2.18*(0.25*M$7)</f>
        <v>13.2846456692913</v>
      </c>
      <c r="N36" s="81" t="n">
        <f aca="false">5+6*(N$7*$C$6)+2.18*(0.25*N$7)</f>
        <v>14.1131102362205</v>
      </c>
      <c r="O36" s="81" t="n">
        <f aca="false">5+6*(O$7*$C$6)+2.18*(0.25*O$7)</f>
        <v>14.9415748031496</v>
      </c>
      <c r="P36" s="81" t="n">
        <f aca="false">5+6*(P$7*$C$6)+2.18*(0.25*P$7)</f>
        <v>15.7700393700787</v>
      </c>
      <c r="Q36" s="81" t="n">
        <f aca="false">5+6*(Q$7*$C$6)+2.18*(0.25*Q$7)</f>
        <v>16.5985039370079</v>
      </c>
      <c r="R36" s="81" t="n">
        <f aca="false">5+6*(R$7*$C$6)+2.18*(0.25*R$7)</f>
        <v>17.426968503937</v>
      </c>
      <c r="S36" s="81" t="n">
        <f aca="false">5+6*(S$7*$C$6)+2.18*(0.25*S$7)</f>
        <v>18.2554330708661</v>
      </c>
      <c r="T36" s="81" t="n">
        <f aca="false">5+6*(T$7*$C$6)+2.18*(0.25*T$7)</f>
        <v>19.0838976377953</v>
      </c>
      <c r="U36" s="81" t="n">
        <f aca="false">5+6*(U$7*$C$6)+2.18*(0.25*U$7)</f>
        <v>19.9123622047244</v>
      </c>
      <c r="V36" s="81" t="n">
        <f aca="false">5+6*(V$7*$C$6)+2.18*(0.25*V$7)</f>
        <v>20.7408267716535</v>
      </c>
      <c r="W36" s="81" t="n">
        <f aca="false">5+6*(W$7*$C$6)+2.18*(0.25*W$7)</f>
        <v>21.5692913385827</v>
      </c>
      <c r="X36" s="81" t="n">
        <f aca="false">5+6*(X$7*$C$6)+2.18*(0.25*X$7)</f>
        <v>22.3977559055118</v>
      </c>
      <c r="Y36" s="81" t="n">
        <f aca="false">5+6*(Y$7*$C$6)+2.18*(0.25*Y$7)</f>
        <v>23.2262204724409</v>
      </c>
      <c r="Z36" s="81" t="n">
        <f aca="false">5+6*(Z$7*$C$6)+2.18*(0.25*Z$7)</f>
        <v>24.0546850393701</v>
      </c>
      <c r="AA36" s="81" t="n">
        <f aca="false">5+6*(AA$7*$C$6)+2.18*(0.25*AA$7)</f>
        <v>24.8831496062992</v>
      </c>
    </row>
    <row r="37" customFormat="false" ht="15" hidden="false" customHeight="false" outlineLevel="0" collapsed="false">
      <c r="A37" s="16" t="n">
        <v>30</v>
      </c>
      <c r="B37" s="46" t="str">
        <f aca="false">'Stitch Library'!B35</f>
        <v>512 (5/16) 2 Ndl Overedge</v>
      </c>
      <c r="H37" s="81" t="n">
        <f aca="false">5+6*(H$7*$C$6)+2.18*(0.313*H$7)</f>
        <v>9.82902283464567</v>
      </c>
      <c r="I37" s="81" t="n">
        <f aca="false">5+6*(I$7*$C$6)+2.18*(0.313*I$7)</f>
        <v>10.7948274015748</v>
      </c>
      <c r="J37" s="81" t="n">
        <f aca="false">5+6*(J$7*$C$6)+2.18*(0.313*J$7)</f>
        <v>11.7606319685039</v>
      </c>
      <c r="K37" s="81" t="n">
        <f aca="false">5+6*(K$7*$C$6)+2.18*(0.313*K$7)</f>
        <v>12.7264365354331</v>
      </c>
      <c r="L37" s="81" t="n">
        <f aca="false">5+6*(L$7*$C$6)+2.18*(0.313*L$7)</f>
        <v>13.6922411023622</v>
      </c>
      <c r="M37" s="81" t="n">
        <f aca="false">5+6*(M$7*$C$6)+2.18*(0.313*M$7)</f>
        <v>14.6580456692913</v>
      </c>
      <c r="N37" s="81" t="n">
        <f aca="false">5+6*(N$7*$C$6)+2.18*(0.313*N$7)</f>
        <v>15.6238502362205</v>
      </c>
      <c r="O37" s="81" t="n">
        <f aca="false">5+6*(O$7*$C$6)+2.18*(0.313*O$7)</f>
        <v>16.5896548031496</v>
      </c>
      <c r="P37" s="81" t="n">
        <f aca="false">5+6*(P$7*$C$6)+2.18*(0.313*P$7)</f>
        <v>17.5554593700787</v>
      </c>
      <c r="Q37" s="81" t="n">
        <f aca="false">5+6*(Q$7*$C$6)+2.18*(0.313*Q$7)</f>
        <v>18.5212639370079</v>
      </c>
      <c r="R37" s="81" t="n">
        <f aca="false">5+6*(R$7*$C$6)+2.18*(0.313*R$7)</f>
        <v>19.487068503937</v>
      </c>
      <c r="S37" s="81" t="n">
        <f aca="false">5+6*(S$7*$C$6)+2.18*(0.313*S$7)</f>
        <v>20.4528730708661</v>
      </c>
      <c r="T37" s="81" t="n">
        <f aca="false">5+6*(T$7*$C$6)+2.18*(0.313*T$7)</f>
        <v>21.4186776377953</v>
      </c>
      <c r="U37" s="81" t="n">
        <f aca="false">5+6*(U$7*$C$6)+2.18*(0.313*U$7)</f>
        <v>22.3844822047244</v>
      </c>
      <c r="V37" s="81" t="n">
        <f aca="false">5+6*(V$7*$C$6)+2.18*(0.313*V$7)</f>
        <v>23.3502867716535</v>
      </c>
      <c r="W37" s="81" t="n">
        <f aca="false">5+6*(W$7*$C$6)+2.18*(0.313*W$7)</f>
        <v>24.3160913385827</v>
      </c>
      <c r="X37" s="81" t="n">
        <f aca="false">5+6*(X$7*$C$6)+2.18*(0.313*X$7)</f>
        <v>25.2818959055118</v>
      </c>
      <c r="Y37" s="81" t="n">
        <f aca="false">5+6*(Y$7*$C$6)+2.18*(0.313*Y$7)</f>
        <v>26.2477004724409</v>
      </c>
      <c r="Z37" s="81" t="n">
        <f aca="false">5+6*(Z$7*$C$6)+2.18*(0.313*Z$7)</f>
        <v>27.2135050393701</v>
      </c>
      <c r="AA37" s="81" t="n">
        <f aca="false">5+6*(AA$7*$C$6)+2.18*(0.313*AA$7)</f>
        <v>28.1793096062992</v>
      </c>
    </row>
    <row r="38" customFormat="false" ht="15" hidden="false" customHeight="false" outlineLevel="0" collapsed="false">
      <c r="A38" s="16" t="n">
        <v>31</v>
      </c>
      <c r="B38" s="46" t="str">
        <f aca="false">'Stitch Library'!B36</f>
        <v>514 (3/16") 2 Ndl Overedge</v>
      </c>
      <c r="H38" s="81" t="n">
        <f aca="false">5+6*(H$7*$C$6)+4*(0.188*H$7)</f>
        <v>10.1773228346457</v>
      </c>
      <c r="I38" s="81" t="n">
        <f aca="false">5+6*(I$7*$C$6)+4*(0.188*I$7)</f>
        <v>11.2127874015748</v>
      </c>
      <c r="J38" s="81" t="n">
        <f aca="false">5+6*(J$7*$C$6)+4*(0.188*J$7)</f>
        <v>12.2482519685039</v>
      </c>
      <c r="K38" s="81" t="n">
        <f aca="false">5+6*(K$7*$C$6)+4*(0.188*K$7)</f>
        <v>13.2837165354331</v>
      </c>
      <c r="L38" s="81" t="n">
        <f aca="false">5+6*(L$7*$C$6)+4*(0.188*L$7)</f>
        <v>14.3191811023622</v>
      </c>
      <c r="M38" s="81" t="n">
        <f aca="false">5+6*(M$7*$C$6)+4*(0.188*M$7)</f>
        <v>15.3546456692913</v>
      </c>
      <c r="N38" s="81" t="n">
        <f aca="false">5+6*(N$7*$C$6)+4*(0.188*N$7)</f>
        <v>16.3901102362205</v>
      </c>
      <c r="O38" s="81" t="n">
        <f aca="false">5+6*(O$7*$C$6)+4*(0.188*O$7)</f>
        <v>17.4255748031496</v>
      </c>
      <c r="P38" s="81" t="n">
        <f aca="false">5+6*(P$7*$C$6)+4*(0.188*P$7)</f>
        <v>18.4610393700787</v>
      </c>
      <c r="Q38" s="81" t="n">
        <f aca="false">5+6*(Q$7*$C$6)+4*(0.188*Q$7)</f>
        <v>19.4965039370079</v>
      </c>
      <c r="R38" s="81" t="n">
        <f aca="false">5+6*(R$7*$C$6)+4*(0.188*R$7)</f>
        <v>20.531968503937</v>
      </c>
      <c r="S38" s="81" t="n">
        <f aca="false">5+6*(S$7*$C$6)+4*(0.188*S$7)</f>
        <v>21.5674330708661</v>
      </c>
      <c r="T38" s="81" t="n">
        <f aca="false">5+6*(T$7*$C$6)+4*(0.188*T$7)</f>
        <v>22.6028976377953</v>
      </c>
      <c r="U38" s="81" t="n">
        <f aca="false">5+6*(U$7*$C$6)+4*(0.188*U$7)</f>
        <v>23.6383622047244</v>
      </c>
      <c r="V38" s="81" t="n">
        <f aca="false">5+6*(V$7*$C$6)+4*(0.188*V$7)</f>
        <v>24.6738267716535</v>
      </c>
      <c r="W38" s="81" t="n">
        <f aca="false">5+6*(W$7*$C$6)+4*(0.188*W$7)</f>
        <v>25.7092913385827</v>
      </c>
      <c r="X38" s="81" t="n">
        <f aca="false">5+6*(X$7*$C$6)+4*(0.188*X$7)</f>
        <v>26.7447559055118</v>
      </c>
      <c r="Y38" s="81" t="n">
        <f aca="false">5+6*(Y$7*$C$6)+4*(0.188*Y$7)</f>
        <v>27.7802204724409</v>
      </c>
      <c r="Z38" s="81" t="n">
        <f aca="false">5+6*(Z$7*$C$6)+4*(0.188*Z$7)</f>
        <v>28.8156850393701</v>
      </c>
      <c r="AA38" s="81" t="n">
        <f aca="false">5+6*(AA$7*$C$6)+4*(0.188*AA$7)</f>
        <v>29.8511496062992</v>
      </c>
    </row>
    <row r="39" customFormat="false" ht="15" hidden="false" customHeight="false" outlineLevel="0" collapsed="false">
      <c r="A39" s="16" t="n">
        <v>32</v>
      </c>
      <c r="B39" s="46" t="str">
        <f aca="false">'Stitch Library'!B37</f>
        <v>514 (1/4") 2 Ndl Overedge</v>
      </c>
      <c r="H39" s="81" t="n">
        <f aca="false">5+6*(H$7*$C$6)+4*(0.25*H$7)</f>
        <v>11.4173228346457</v>
      </c>
      <c r="I39" s="81" t="n">
        <f aca="false">5+6*(I$7*$C$6)+4*(0.25*I$7)</f>
        <v>12.7007874015748</v>
      </c>
      <c r="J39" s="81" t="n">
        <f aca="false">5+6*(J$7*$C$6)+4*(0.25*J$7)</f>
        <v>13.9842519685039</v>
      </c>
      <c r="K39" s="81" t="n">
        <f aca="false">5+6*(K$7*$C$6)+4*(0.25*K$7)</f>
        <v>15.2677165354331</v>
      </c>
      <c r="L39" s="81" t="n">
        <f aca="false">5+6*(L$7*$C$6)+4*(0.25*L$7)</f>
        <v>16.5511811023622</v>
      </c>
      <c r="M39" s="81" t="n">
        <f aca="false">5+6*(M$7*$C$6)+4*(0.25*M$7)</f>
        <v>17.8346456692913</v>
      </c>
      <c r="N39" s="81" t="n">
        <f aca="false">5+6*(N$7*$C$6)+4*(0.25*N$7)</f>
        <v>19.1181102362205</v>
      </c>
      <c r="O39" s="81" t="n">
        <f aca="false">5+6*(O$7*$C$6)+4*(0.25*O$7)</f>
        <v>20.4015748031496</v>
      </c>
      <c r="P39" s="81" t="n">
        <f aca="false">5+6*(P$7*$C$6)+4*(0.25*P$7)</f>
        <v>21.6850393700787</v>
      </c>
      <c r="Q39" s="81" t="n">
        <f aca="false">5+6*(Q$7*$C$6)+4*(0.25*Q$7)</f>
        <v>22.9685039370079</v>
      </c>
      <c r="R39" s="81" t="n">
        <f aca="false">5+6*(R$7*$C$6)+4*(0.25*R$7)</f>
        <v>24.251968503937</v>
      </c>
      <c r="S39" s="81" t="n">
        <f aca="false">5+6*(S$7*$C$6)+4*(0.25*S$7)</f>
        <v>25.5354330708661</v>
      </c>
      <c r="T39" s="81" t="n">
        <f aca="false">5+6*(T$7*$C$6)+4*(0.25*T$7)</f>
        <v>26.8188976377953</v>
      </c>
      <c r="U39" s="81" t="n">
        <f aca="false">5+6*(U$7*$C$6)+4*(0.25*U$7)</f>
        <v>28.1023622047244</v>
      </c>
      <c r="V39" s="81" t="n">
        <f aca="false">5+6*(V$7*$C$6)+4*(0.25*V$7)</f>
        <v>29.3858267716535</v>
      </c>
      <c r="W39" s="81" t="n">
        <f aca="false">5+6*(W$7*$C$6)+4*(0.25*W$7)</f>
        <v>30.6692913385827</v>
      </c>
      <c r="X39" s="81" t="n">
        <f aca="false">5+6*(X$7*$C$6)+4*(0.25*X$7)</f>
        <v>31.9527559055118</v>
      </c>
      <c r="Y39" s="81" t="n">
        <f aca="false">5+6*(Y$7*$C$6)+4*(0.25*Y$7)</f>
        <v>33.236220472441</v>
      </c>
      <c r="Z39" s="81" t="n">
        <f aca="false">5+6*(Z$7*$C$6)+4*(0.25*Z$7)</f>
        <v>34.5196850393701</v>
      </c>
      <c r="AA39" s="81" t="n">
        <f aca="false">5+6*(AA$7*$C$6)+4*(0.25*AA$7)</f>
        <v>35.8031496062992</v>
      </c>
    </row>
    <row r="40" customFormat="false" ht="15" hidden="false" customHeight="false" outlineLevel="0" collapsed="false">
      <c r="A40" s="16" t="n">
        <v>33</v>
      </c>
      <c r="B40" s="46" t="str">
        <f aca="false">'Stitch Library'!B38</f>
        <v>514 (5/16") 2 Ndl Overedge</v>
      </c>
      <c r="H40" s="81" t="n">
        <f aca="false">5+6*(H$7*$C$6)+4*(0.313*H$7)</f>
        <v>12.6773228346457</v>
      </c>
      <c r="I40" s="81" t="n">
        <f aca="false">5+6*(I$7*$C$6)+4*(0.313*I$7)</f>
        <v>14.2127874015748</v>
      </c>
      <c r="J40" s="81" t="n">
        <f aca="false">5+6*(J$7*$C$6)+4*(0.313*J$7)</f>
        <v>15.7482519685039</v>
      </c>
      <c r="K40" s="81" t="n">
        <f aca="false">5+6*(K$7*$C$6)+4*(0.313*K$7)</f>
        <v>17.2837165354331</v>
      </c>
      <c r="L40" s="81" t="n">
        <f aca="false">5+6*(L$7*$C$6)+4*(0.313*L$7)</f>
        <v>18.8191811023622</v>
      </c>
      <c r="M40" s="81" t="n">
        <f aca="false">5+6*(M$7*$C$6)+4*(0.313*M$7)</f>
        <v>20.3546456692913</v>
      </c>
      <c r="N40" s="81" t="n">
        <f aca="false">5+6*(N$7*$C$6)+4*(0.313*N$7)</f>
        <v>21.8901102362205</v>
      </c>
      <c r="O40" s="81" t="n">
        <f aca="false">5+6*(O$7*$C$6)+4*(0.313*O$7)</f>
        <v>23.4255748031496</v>
      </c>
      <c r="P40" s="81" t="n">
        <f aca="false">5+6*(P$7*$C$6)+4*(0.313*P$7)</f>
        <v>24.9610393700787</v>
      </c>
      <c r="Q40" s="81" t="n">
        <f aca="false">5+6*(Q$7*$C$6)+4*(0.313*Q$7)</f>
        <v>26.4965039370079</v>
      </c>
      <c r="R40" s="81" t="n">
        <f aca="false">5+6*(R$7*$C$6)+4*(0.313*R$7)</f>
        <v>28.031968503937</v>
      </c>
      <c r="S40" s="81" t="n">
        <f aca="false">5+6*(S$7*$C$6)+4*(0.313*S$7)</f>
        <v>29.5674330708661</v>
      </c>
      <c r="T40" s="81" t="n">
        <f aca="false">5+6*(T$7*$C$6)+4*(0.313*T$7)</f>
        <v>31.1028976377953</v>
      </c>
      <c r="U40" s="81" t="n">
        <f aca="false">5+6*(U$7*$C$6)+4*(0.313*U$7)</f>
        <v>32.6383622047244</v>
      </c>
      <c r="V40" s="81" t="n">
        <f aca="false">5+6*(V$7*$C$6)+4*(0.313*V$7)</f>
        <v>34.1738267716535</v>
      </c>
      <c r="W40" s="81" t="n">
        <f aca="false">5+6*(W$7*$C$6)+4*(0.313*W$7)</f>
        <v>35.7092913385827</v>
      </c>
      <c r="X40" s="81" t="n">
        <f aca="false">5+6*(X$7*$C$6)+4*(0.313*X$7)</f>
        <v>37.2447559055118</v>
      </c>
      <c r="Y40" s="81" t="n">
        <f aca="false">5+6*(Y$7*$C$6)+4*(0.313*Y$7)</f>
        <v>38.7802204724409</v>
      </c>
      <c r="Z40" s="81" t="n">
        <f aca="false">5+6*(Z$7*$C$6)+4*(0.313*Z$7)</f>
        <v>40.3156850393701</v>
      </c>
      <c r="AA40" s="81" t="n">
        <f aca="false">5+6*(AA$7*$C$6)+4*(0.313*AA$7)</f>
        <v>41.8511496062992</v>
      </c>
    </row>
    <row r="41" customFormat="false" ht="15" hidden="false" customHeight="false" outlineLevel="0" collapsed="false">
      <c r="A41" s="16" t="n">
        <v>34</v>
      </c>
      <c r="B41" s="46" t="str">
        <f aca="false">'Stitch Library'!B39</f>
        <v>515/401 Safetystitch Chain</v>
      </c>
      <c r="H41" s="81" t="n">
        <f aca="false">H21</f>
        <v>4.47244094488189</v>
      </c>
      <c r="I41" s="81" t="n">
        <f aca="false">I21</f>
        <v>4.56692913385827</v>
      </c>
      <c r="J41" s="81" t="n">
        <f aca="false">J21</f>
        <v>4.66141732283465</v>
      </c>
      <c r="K41" s="81" t="n">
        <f aca="false">K21</f>
        <v>4.75590551181102</v>
      </c>
      <c r="L41" s="81" t="n">
        <f aca="false">L21</f>
        <v>4.8503937007874</v>
      </c>
      <c r="M41" s="81" t="n">
        <f aca="false">M21</f>
        <v>4.94488188976378</v>
      </c>
      <c r="N41" s="81" t="n">
        <f aca="false">N21</f>
        <v>5.03937007874016</v>
      </c>
      <c r="O41" s="81" t="n">
        <f aca="false">O21</f>
        <v>5.13385826771654</v>
      </c>
      <c r="P41" s="81" t="n">
        <f aca="false">P21</f>
        <v>5.22834645669291</v>
      </c>
      <c r="Q41" s="81" t="n">
        <f aca="false">Q21</f>
        <v>5.32283464566929</v>
      </c>
      <c r="R41" s="81" t="n">
        <f aca="false">R21</f>
        <v>5.41732283464567</v>
      </c>
      <c r="S41" s="81" t="n">
        <f aca="false">S21</f>
        <v>5.51181102362205</v>
      </c>
      <c r="T41" s="81" t="n">
        <f aca="false">T21</f>
        <v>5.60629921259843</v>
      </c>
      <c r="U41" s="81" t="n">
        <f aca="false">U21</f>
        <v>5.7007874015748</v>
      </c>
      <c r="V41" s="81" t="n">
        <f aca="false">V21</f>
        <v>5.79527559055118</v>
      </c>
      <c r="W41" s="81" t="n">
        <f aca="false">W21</f>
        <v>5.88976377952756</v>
      </c>
      <c r="X41" s="81" t="n">
        <f aca="false">X21</f>
        <v>5.98425196850394</v>
      </c>
      <c r="Y41" s="81" t="n">
        <f aca="false">Y21</f>
        <v>6.07874015748032</v>
      </c>
      <c r="Z41" s="81" t="n">
        <f aca="false">Z21</f>
        <v>6.17322834645669</v>
      </c>
      <c r="AA41" s="81" t="n">
        <f aca="false">AA21</f>
        <v>6.26771653543307</v>
      </c>
    </row>
    <row r="42" customFormat="false" ht="15" hidden="false" customHeight="false" outlineLevel="0" collapsed="false">
      <c r="A42" s="16" t="n">
        <v>35</v>
      </c>
      <c r="B42" s="46" t="str">
        <f aca="false">'Stitch Library'!B40</f>
        <v>515/503 SafetyS Overedge</v>
      </c>
      <c r="H42" s="81" t="n">
        <f aca="false">H30</f>
        <v>6.70488188976378</v>
      </c>
      <c r="I42" s="81" t="n">
        <f aca="false">I30</f>
        <v>7.64585826771654</v>
      </c>
      <c r="J42" s="81" t="n">
        <f aca="false">J30</f>
        <v>8.58683464566929</v>
      </c>
      <c r="K42" s="81" t="n">
        <f aca="false">K30</f>
        <v>9.52781102362205</v>
      </c>
      <c r="L42" s="81" t="n">
        <f aca="false">L30</f>
        <v>10.4687874015748</v>
      </c>
      <c r="M42" s="81" t="n">
        <f aca="false">M30</f>
        <v>11.4097637795276</v>
      </c>
      <c r="N42" s="81" t="n">
        <f aca="false">N30</f>
        <v>12.3507401574803</v>
      </c>
      <c r="O42" s="81" t="n">
        <f aca="false">O30</f>
        <v>13.2917165354331</v>
      </c>
      <c r="P42" s="81" t="n">
        <f aca="false">P30</f>
        <v>14.2326929133858</v>
      </c>
      <c r="Q42" s="81" t="n">
        <f aca="false">Q30</f>
        <v>15.1736692913386</v>
      </c>
      <c r="R42" s="81" t="n">
        <f aca="false">R30</f>
        <v>16.1146456692913</v>
      </c>
      <c r="S42" s="81" t="n">
        <f aca="false">S30</f>
        <v>17.0556220472441</v>
      </c>
      <c r="T42" s="81" t="n">
        <f aca="false">T30</f>
        <v>17.9965984251969</v>
      </c>
      <c r="U42" s="81" t="n">
        <f aca="false">U30</f>
        <v>18.9375748031496</v>
      </c>
      <c r="V42" s="81" t="n">
        <f aca="false">V30</f>
        <v>19.8785511811024</v>
      </c>
      <c r="W42" s="81" t="n">
        <f aca="false">W30</f>
        <v>20.8195275590551</v>
      </c>
      <c r="X42" s="81" t="n">
        <f aca="false">X30</f>
        <v>21.7605039370079</v>
      </c>
      <c r="Y42" s="81" t="n">
        <f aca="false">Y30</f>
        <v>22.7014803149606</v>
      </c>
      <c r="Z42" s="81" t="n">
        <f aca="false">Z30</f>
        <v>23.6424566929134</v>
      </c>
      <c r="AA42" s="81" t="n">
        <f aca="false">AA30</f>
        <v>24.5834330708661</v>
      </c>
    </row>
    <row r="43" customFormat="false" ht="15" hidden="false" customHeight="false" outlineLevel="0" collapsed="false">
      <c r="A43" s="16" t="n">
        <v>36</v>
      </c>
      <c r="B43" s="46" t="str">
        <f aca="false">'Stitch Library'!B41</f>
        <v>515 /Both Safetystitch</v>
      </c>
      <c r="H43" s="81" t="n">
        <f aca="false">H21+H30</f>
        <v>11.1773228346457</v>
      </c>
      <c r="I43" s="81" t="n">
        <f aca="false">I21+I30</f>
        <v>12.2127874015748</v>
      </c>
      <c r="J43" s="81" t="n">
        <f aca="false">J21+J30</f>
        <v>13.2482519685039</v>
      </c>
      <c r="K43" s="81" t="n">
        <f aca="false">K21+K30</f>
        <v>14.2837165354331</v>
      </c>
      <c r="L43" s="81" t="n">
        <f aca="false">L21+L30</f>
        <v>15.3191811023622</v>
      </c>
      <c r="M43" s="81" t="n">
        <f aca="false">M21+M30</f>
        <v>16.3546456692913</v>
      </c>
      <c r="N43" s="81" t="n">
        <f aca="false">N21+N30</f>
        <v>17.3901102362205</v>
      </c>
      <c r="O43" s="81" t="n">
        <f aca="false">O21+O30</f>
        <v>18.4255748031496</v>
      </c>
      <c r="P43" s="81" t="n">
        <f aca="false">P21+P30</f>
        <v>19.4610393700787</v>
      </c>
      <c r="Q43" s="81" t="n">
        <f aca="false">Q21+Q30</f>
        <v>20.4965039370079</v>
      </c>
      <c r="R43" s="81" t="n">
        <f aca="false">R21+R30</f>
        <v>21.531968503937</v>
      </c>
      <c r="S43" s="81" t="n">
        <f aca="false">S21+S30</f>
        <v>22.5674330708661</v>
      </c>
      <c r="T43" s="81" t="n">
        <f aca="false">T21+T30</f>
        <v>23.6028976377953</v>
      </c>
      <c r="U43" s="81" t="n">
        <f aca="false">U21+U30</f>
        <v>24.6383622047244</v>
      </c>
      <c r="V43" s="81" t="n">
        <f aca="false">V21+V30</f>
        <v>25.6738267716535</v>
      </c>
      <c r="W43" s="81" t="n">
        <f aca="false">W21+W30</f>
        <v>26.7092913385827</v>
      </c>
      <c r="X43" s="81" t="n">
        <f aca="false">X21+X30</f>
        <v>27.7447559055118</v>
      </c>
      <c r="Y43" s="81" t="n">
        <f aca="false">Y21+Y30</f>
        <v>28.7802204724409</v>
      </c>
      <c r="Z43" s="81" t="n">
        <f aca="false">Z21+Z30</f>
        <v>29.8156850393701</v>
      </c>
      <c r="AA43" s="81" t="n">
        <f aca="false">AA21+AA30</f>
        <v>30.8511496062992</v>
      </c>
    </row>
    <row r="44" customFormat="false" ht="15" hidden="false" customHeight="false" outlineLevel="0" collapsed="false">
      <c r="A44" s="16" t="n">
        <v>37</v>
      </c>
      <c r="B44" s="46" t="str">
        <f aca="false">'Stitch Library'!B42</f>
        <v>516 / 401 SafetyS Chain</v>
      </c>
      <c r="H44" s="81" t="n">
        <f aca="false">H21</f>
        <v>4.47244094488189</v>
      </c>
      <c r="I44" s="81" t="n">
        <f aca="false">I21</f>
        <v>4.56692913385827</v>
      </c>
      <c r="J44" s="81" t="n">
        <f aca="false">J21</f>
        <v>4.66141732283465</v>
      </c>
      <c r="K44" s="81" t="n">
        <f aca="false">K21</f>
        <v>4.75590551181102</v>
      </c>
      <c r="L44" s="81" t="n">
        <f aca="false">L21</f>
        <v>4.8503937007874</v>
      </c>
      <c r="M44" s="81" t="n">
        <f aca="false">M21</f>
        <v>4.94488188976378</v>
      </c>
      <c r="N44" s="81" t="n">
        <f aca="false">N21</f>
        <v>5.03937007874016</v>
      </c>
      <c r="O44" s="81" t="n">
        <f aca="false">O21</f>
        <v>5.13385826771654</v>
      </c>
      <c r="P44" s="81" t="n">
        <f aca="false">P21</f>
        <v>5.22834645669291</v>
      </c>
      <c r="Q44" s="81" t="n">
        <f aca="false">Q21</f>
        <v>5.32283464566929</v>
      </c>
      <c r="R44" s="81" t="n">
        <f aca="false">R21</f>
        <v>5.41732283464567</v>
      </c>
      <c r="S44" s="81" t="n">
        <f aca="false">S21</f>
        <v>5.51181102362205</v>
      </c>
      <c r="T44" s="81" t="n">
        <f aca="false">T21</f>
        <v>5.60629921259843</v>
      </c>
      <c r="U44" s="81" t="n">
        <f aca="false">U21</f>
        <v>5.7007874015748</v>
      </c>
      <c r="V44" s="81" t="n">
        <f aca="false">V21</f>
        <v>5.79527559055118</v>
      </c>
      <c r="W44" s="81" t="n">
        <f aca="false">W21</f>
        <v>5.88976377952756</v>
      </c>
      <c r="X44" s="81" t="n">
        <f aca="false">X21</f>
        <v>5.98425196850394</v>
      </c>
      <c r="Y44" s="81" t="n">
        <f aca="false">Y21</f>
        <v>6.07874015748032</v>
      </c>
      <c r="Z44" s="81" t="n">
        <f aca="false">Z21</f>
        <v>6.17322834645669</v>
      </c>
      <c r="AA44" s="81" t="n">
        <f aca="false">AA21</f>
        <v>6.26771653543307</v>
      </c>
    </row>
    <row r="45" customFormat="false" ht="15" hidden="false" customHeight="false" outlineLevel="0" collapsed="false">
      <c r="A45" s="16" t="n">
        <v>38</v>
      </c>
      <c r="B45" s="46" t="str">
        <f aca="false">'Stitch Library'!B43</f>
        <v>516 / 504 SafetyS Overedge</v>
      </c>
      <c r="H45" s="81" t="n">
        <f aca="false">H34</f>
        <v>10.9448818897638</v>
      </c>
      <c r="I45" s="81" t="n">
        <f aca="false">I34</f>
        <v>12.1338582677165</v>
      </c>
      <c r="J45" s="81" t="n">
        <f aca="false">J34</f>
        <v>13.3228346456693</v>
      </c>
      <c r="K45" s="81" t="n">
        <f aca="false">K34</f>
        <v>14.511811023622</v>
      </c>
      <c r="L45" s="81" t="n">
        <f aca="false">L34</f>
        <v>15.7007874015748</v>
      </c>
      <c r="M45" s="81" t="n">
        <f aca="false">M34</f>
        <v>16.8897637795276</v>
      </c>
      <c r="N45" s="81" t="n">
        <f aca="false">N34</f>
        <v>18.0787401574803</v>
      </c>
      <c r="O45" s="81" t="n">
        <f aca="false">O34</f>
        <v>19.2677165354331</v>
      </c>
      <c r="P45" s="81" t="n">
        <f aca="false">P34</f>
        <v>20.4566929133858</v>
      </c>
      <c r="Q45" s="81" t="n">
        <f aca="false">Q34</f>
        <v>21.6456692913386</v>
      </c>
      <c r="R45" s="81" t="n">
        <f aca="false">R34</f>
        <v>22.8346456692913</v>
      </c>
      <c r="S45" s="81" t="n">
        <f aca="false">S34</f>
        <v>24.0236220472441</v>
      </c>
      <c r="T45" s="81" t="n">
        <f aca="false">T34</f>
        <v>25.2125984251969</v>
      </c>
      <c r="U45" s="81" t="n">
        <f aca="false">U34</f>
        <v>26.4015748031496</v>
      </c>
      <c r="V45" s="81" t="n">
        <f aca="false">V34</f>
        <v>27.5905511811024</v>
      </c>
      <c r="W45" s="81" t="n">
        <f aca="false">W34</f>
        <v>28.7795275590551</v>
      </c>
      <c r="X45" s="81" t="n">
        <f aca="false">X34</f>
        <v>29.9685039370079</v>
      </c>
      <c r="Y45" s="81" t="n">
        <f aca="false">Y34</f>
        <v>31.1574803149606</v>
      </c>
      <c r="Z45" s="81" t="n">
        <f aca="false">Z34</f>
        <v>32.3464566929134</v>
      </c>
      <c r="AA45" s="81" t="n">
        <f aca="false">AA34</f>
        <v>33.5354330708662</v>
      </c>
    </row>
    <row r="46" customFormat="false" ht="15" hidden="false" customHeight="false" outlineLevel="0" collapsed="false">
      <c r="A46" s="16" t="n">
        <v>39</v>
      </c>
      <c r="B46" s="46" t="str">
        <f aca="false">'Stitch Library'!B44</f>
        <v>516 /Both Safetystitch</v>
      </c>
      <c r="H46" s="81" t="n">
        <f aca="false">H44+H45</f>
        <v>15.4173228346457</v>
      </c>
      <c r="I46" s="81" t="n">
        <f aca="false">I44+I45</f>
        <v>16.7007874015748</v>
      </c>
      <c r="J46" s="81" t="n">
        <f aca="false">J44+J45</f>
        <v>17.9842519685039</v>
      </c>
      <c r="K46" s="81" t="n">
        <f aca="false">K44+K45</f>
        <v>19.2677165354331</v>
      </c>
      <c r="L46" s="81" t="n">
        <f aca="false">L44+L45</f>
        <v>20.5511811023622</v>
      </c>
      <c r="M46" s="81" t="n">
        <f aca="false">M44+M45</f>
        <v>21.8346456692913</v>
      </c>
      <c r="N46" s="81" t="n">
        <f aca="false">N44+N45</f>
        <v>23.1181102362205</v>
      </c>
      <c r="O46" s="81" t="n">
        <f aca="false">O44+O45</f>
        <v>24.4015748031496</v>
      </c>
      <c r="P46" s="81" t="n">
        <f aca="false">P44+P45</f>
        <v>25.6850393700787</v>
      </c>
      <c r="Q46" s="81" t="n">
        <f aca="false">Q44+Q45</f>
        <v>26.9685039370079</v>
      </c>
      <c r="R46" s="81" t="n">
        <f aca="false">R44+R45</f>
        <v>28.251968503937</v>
      </c>
      <c r="S46" s="81" t="n">
        <f aca="false">S44+S45</f>
        <v>29.5354330708661</v>
      </c>
      <c r="T46" s="81" t="n">
        <f aca="false">T44+T45</f>
        <v>30.8188976377953</v>
      </c>
      <c r="U46" s="81" t="n">
        <f aca="false">U44+U45</f>
        <v>32.1023622047244</v>
      </c>
      <c r="V46" s="81" t="n">
        <f aca="false">V44+V45</f>
        <v>33.3858267716535</v>
      </c>
      <c r="W46" s="81" t="n">
        <f aca="false">W44+W45</f>
        <v>34.6692913385827</v>
      </c>
      <c r="X46" s="81" t="n">
        <f aca="false">X44+X45</f>
        <v>35.9527559055118</v>
      </c>
      <c r="Y46" s="81" t="n">
        <f aca="false">Y44+Y45</f>
        <v>37.236220472441</v>
      </c>
      <c r="Z46" s="81" t="n">
        <f aca="false">Z44+Z45</f>
        <v>38.5196850393701</v>
      </c>
      <c r="AA46" s="81" t="n">
        <f aca="false">AA44+AA45</f>
        <v>39.8031496062992</v>
      </c>
    </row>
    <row r="47" customFormat="false" ht="15" hidden="false" customHeight="false" outlineLevel="0" collapsed="false">
      <c r="A47" s="16" t="n">
        <v>40</v>
      </c>
      <c r="B47" s="46" t="str">
        <f aca="false">'Stitch Library'!B45</f>
        <v>517 / 301 SafetyS Lockstitch</v>
      </c>
      <c r="H47" s="81" t="n">
        <f aca="false">2+2*($C$6*H$7)</f>
        <v>2.47244094488189</v>
      </c>
      <c r="I47" s="81" t="n">
        <f aca="false">2+2*($C$6*I$7)</f>
        <v>2.56692913385827</v>
      </c>
      <c r="J47" s="81" t="n">
        <f aca="false">2+2*($C$6*J$7)</f>
        <v>2.66141732283465</v>
      </c>
      <c r="K47" s="81" t="n">
        <f aca="false">2+2*($C$6*K$7)</f>
        <v>2.75590551181102</v>
      </c>
      <c r="L47" s="81" t="n">
        <f aca="false">2+2*($C$6*L$7)</f>
        <v>2.8503937007874</v>
      </c>
      <c r="M47" s="81" t="n">
        <f aca="false">2+2*($C$6*M$7)</f>
        <v>2.94488188976378</v>
      </c>
      <c r="N47" s="81" t="n">
        <f aca="false">2+2*($C$6*N$7)</f>
        <v>3.03937007874016</v>
      </c>
      <c r="O47" s="81" t="n">
        <f aca="false">2+2*($C$6*O$7)</f>
        <v>3.13385826771654</v>
      </c>
      <c r="P47" s="81" t="n">
        <f aca="false">2+2*($C$6*P$7)</f>
        <v>3.22834645669291</v>
      </c>
      <c r="Q47" s="81" t="n">
        <f aca="false">2+2*($C$6*Q$7)</f>
        <v>3.32283464566929</v>
      </c>
      <c r="R47" s="81" t="n">
        <f aca="false">2+2*($C$6*R$7)</f>
        <v>3.41732283464567</v>
      </c>
      <c r="S47" s="81" t="n">
        <f aca="false">2+2*($C$6*S$7)</f>
        <v>3.51181102362205</v>
      </c>
      <c r="T47" s="81" t="n">
        <f aca="false">2+2*($C$6*T$7)</f>
        <v>3.60629921259843</v>
      </c>
      <c r="U47" s="81" t="n">
        <f aca="false">2+2*($C$6*U$7)</f>
        <v>3.7007874015748</v>
      </c>
      <c r="V47" s="81" t="n">
        <f aca="false">2+2*($C$6*V$7)</f>
        <v>3.79527559055118</v>
      </c>
      <c r="W47" s="81" t="n">
        <f aca="false">2+2*($C$6*W$7)</f>
        <v>3.88976377952756</v>
      </c>
      <c r="X47" s="81" t="n">
        <f aca="false">2+2*($C$6*X$7)</f>
        <v>3.98425196850394</v>
      </c>
      <c r="Y47" s="81" t="n">
        <f aca="false">2+2*($C$6*Y$7)</f>
        <v>4.07874015748032</v>
      </c>
      <c r="Z47" s="81" t="n">
        <f aca="false">2+2*($C$6*Z$7)</f>
        <v>4.17322834645669</v>
      </c>
      <c r="AA47" s="81" t="n">
        <f aca="false">2+2*($C$6*AA$7)</f>
        <v>4.26771653543307</v>
      </c>
    </row>
    <row r="48" customFormat="false" ht="15" hidden="false" customHeight="false" outlineLevel="0" collapsed="false">
      <c r="A48" s="16" t="n">
        <v>41</v>
      </c>
      <c r="B48" s="46" t="str">
        <f aca="false">'Stitch Library'!B46</f>
        <v>517 / 504 SafetyS Overedge</v>
      </c>
      <c r="H48" s="81" t="n">
        <f aca="false">4*(H$7*(0.188+$C$6))+5</f>
        <v>9.70488188976378</v>
      </c>
      <c r="I48" s="81" t="n">
        <f aca="false">4*(I$7*(0.188+$C$6))+5</f>
        <v>10.6458582677165</v>
      </c>
      <c r="J48" s="81" t="n">
        <f aca="false">4*(J$7*(0.188+$C$6))+5</f>
        <v>11.5868346456693</v>
      </c>
      <c r="K48" s="81" t="n">
        <f aca="false">4*(K$7*(0.188+$C$6))+5</f>
        <v>12.527811023622</v>
      </c>
      <c r="L48" s="81" t="n">
        <f aca="false">4*(L$7*(0.188+$C$6))+5</f>
        <v>13.4687874015748</v>
      </c>
      <c r="M48" s="81" t="n">
        <f aca="false">4*(M$7*(0.188+$C$6))+5</f>
        <v>14.4097637795276</v>
      </c>
      <c r="N48" s="81" t="n">
        <f aca="false">4*(N$7*(0.188+$C$6))+5</f>
        <v>15.3507401574803</v>
      </c>
      <c r="O48" s="81" t="n">
        <f aca="false">4*(O$7*(0.188+$C$6))+5</f>
        <v>16.2917165354331</v>
      </c>
      <c r="P48" s="81" t="n">
        <f aca="false">4*(P$7*(0.188+$C$6))+5</f>
        <v>17.2326929133858</v>
      </c>
      <c r="Q48" s="81" t="n">
        <f aca="false">4*(Q$7*(0.188+$C$6))+5</f>
        <v>18.1736692913386</v>
      </c>
      <c r="R48" s="81" t="n">
        <f aca="false">4*(R$7*(0.188+$C$6))+5</f>
        <v>19.1146456692913</v>
      </c>
      <c r="S48" s="81" t="n">
        <f aca="false">4*(S$7*(0.188+$C$6))+5</f>
        <v>20.0556220472441</v>
      </c>
      <c r="T48" s="81" t="n">
        <f aca="false">4*(T$7*(0.188+$C$6))+5</f>
        <v>20.9965984251969</v>
      </c>
      <c r="U48" s="81" t="n">
        <f aca="false">4*(U$7*(0.188+$C$6))+5</f>
        <v>21.9375748031496</v>
      </c>
      <c r="V48" s="81" t="n">
        <f aca="false">4*(V$7*(0.188+$C$6))+5</f>
        <v>22.8785511811024</v>
      </c>
      <c r="W48" s="81" t="n">
        <f aca="false">4*(W$7*(0.188+$C$6))+5</f>
        <v>23.8195275590551</v>
      </c>
      <c r="X48" s="81" t="n">
        <f aca="false">4*(X$7*(0.188+$C$6))+5</f>
        <v>24.7605039370079</v>
      </c>
      <c r="Y48" s="81" t="n">
        <f aca="false">4*(Y$7*(0.188+$C$6))+5</f>
        <v>25.7014803149606</v>
      </c>
      <c r="Z48" s="81" t="n">
        <f aca="false">4*(Z$7*(0.188+$C$6))+5</f>
        <v>26.6424566929134</v>
      </c>
      <c r="AA48" s="81" t="n">
        <f aca="false">4*(AA$7*(0.188+$C$6))+5</f>
        <v>27.5834330708661</v>
      </c>
    </row>
    <row r="49" customFormat="false" ht="15" hidden="false" customHeight="false" outlineLevel="0" collapsed="false">
      <c r="A49" s="16" t="n">
        <v>42</v>
      </c>
      <c r="B49" s="46" t="str">
        <f aca="false">'Stitch Library'!B47</f>
        <v>524 (3/16") / 401 &amp; 514 Stitch</v>
      </c>
      <c r="H49" s="81" t="n">
        <f aca="false">H21+H38</f>
        <v>14.6497637795276</v>
      </c>
      <c r="I49" s="81" t="n">
        <f aca="false">I21+I38</f>
        <v>15.7797165354331</v>
      </c>
      <c r="J49" s="81" t="n">
        <f aca="false">J21+J38</f>
        <v>16.9096692913386</v>
      </c>
      <c r="K49" s="81" t="n">
        <f aca="false">K21+K38</f>
        <v>18.0396220472441</v>
      </c>
      <c r="L49" s="81" t="n">
        <f aca="false">L21+L38</f>
        <v>19.1695748031496</v>
      </c>
      <c r="M49" s="81" t="n">
        <f aca="false">M21+M38</f>
        <v>20.2995275590551</v>
      </c>
      <c r="N49" s="81" t="n">
        <f aca="false">N21+N38</f>
        <v>21.4294803149606</v>
      </c>
      <c r="O49" s="81" t="n">
        <f aca="false">O21+O38</f>
        <v>22.5594330708661</v>
      </c>
      <c r="P49" s="81" t="n">
        <f aca="false">P21+P38</f>
        <v>23.6893858267717</v>
      </c>
      <c r="Q49" s="81" t="n">
        <f aca="false">Q21+Q38</f>
        <v>24.8193385826772</v>
      </c>
      <c r="R49" s="81" t="n">
        <f aca="false">R21+R38</f>
        <v>25.9492913385827</v>
      </c>
      <c r="S49" s="81" t="n">
        <f aca="false">S21+S38</f>
        <v>27.0792440944882</v>
      </c>
      <c r="T49" s="81" t="n">
        <f aca="false">T21+T38</f>
        <v>28.2091968503937</v>
      </c>
      <c r="U49" s="81" t="n">
        <f aca="false">U21+U38</f>
        <v>29.3391496062992</v>
      </c>
      <c r="V49" s="81" t="n">
        <f aca="false">V21+V38</f>
        <v>30.4691023622047</v>
      </c>
      <c r="W49" s="81" t="n">
        <f aca="false">W21+W38</f>
        <v>31.5990551181102</v>
      </c>
      <c r="X49" s="81" t="n">
        <f aca="false">X21+X38</f>
        <v>32.7290078740158</v>
      </c>
      <c r="Y49" s="81" t="n">
        <f aca="false">Y21+Y38</f>
        <v>33.8589606299213</v>
      </c>
      <c r="Z49" s="81" t="n">
        <f aca="false">Z21+Z38</f>
        <v>34.9889133858268</v>
      </c>
      <c r="AA49" s="81" t="n">
        <f aca="false">AA21+AA38</f>
        <v>36.1188661417323</v>
      </c>
    </row>
    <row r="50" customFormat="false" ht="15" hidden="false" customHeight="false" outlineLevel="0" collapsed="false">
      <c r="A50" s="16" t="n">
        <v>43</v>
      </c>
      <c r="B50" s="46" t="str">
        <f aca="false">'Stitch Library'!B48</f>
        <v>524 (1/4") / 401 &amp; 514 Stitch</v>
      </c>
      <c r="H50" s="81" t="n">
        <f aca="false">H21+H39</f>
        <v>15.8897637795276</v>
      </c>
      <c r="I50" s="81" t="n">
        <f aca="false">I21+I39</f>
        <v>17.2677165354331</v>
      </c>
      <c r="J50" s="81" t="n">
        <f aca="false">J21+J39</f>
        <v>18.6456692913386</v>
      </c>
      <c r="K50" s="81" t="n">
        <f aca="false">K21+K39</f>
        <v>20.0236220472441</v>
      </c>
      <c r="L50" s="81" t="n">
        <f aca="false">L21+L39</f>
        <v>21.4015748031496</v>
      </c>
      <c r="M50" s="81" t="n">
        <f aca="false">M21+M39</f>
        <v>22.7795275590551</v>
      </c>
      <c r="N50" s="81" t="n">
        <f aca="false">N21+N39</f>
        <v>24.1574803149606</v>
      </c>
      <c r="O50" s="81" t="n">
        <f aca="false">O21+O39</f>
        <v>25.5354330708661</v>
      </c>
      <c r="P50" s="81" t="n">
        <f aca="false">P21+P39</f>
        <v>26.9133858267717</v>
      </c>
      <c r="Q50" s="81" t="n">
        <f aca="false">Q21+Q39</f>
        <v>28.2913385826772</v>
      </c>
      <c r="R50" s="81" t="n">
        <f aca="false">R21+R39</f>
        <v>29.6692913385827</v>
      </c>
      <c r="S50" s="81" t="n">
        <f aca="false">S21+S39</f>
        <v>31.0472440944882</v>
      </c>
      <c r="T50" s="81" t="n">
        <f aca="false">T21+T39</f>
        <v>32.4251968503937</v>
      </c>
      <c r="U50" s="81" t="n">
        <f aca="false">U21+U39</f>
        <v>33.8031496062992</v>
      </c>
      <c r="V50" s="81" t="n">
        <f aca="false">V21+V39</f>
        <v>35.1811023622047</v>
      </c>
      <c r="W50" s="81" t="n">
        <f aca="false">W21+W39</f>
        <v>36.5590551181102</v>
      </c>
      <c r="X50" s="81" t="n">
        <f aca="false">X21+X39</f>
        <v>37.9370078740158</v>
      </c>
      <c r="Y50" s="81" t="n">
        <f aca="false">Y21+Y39</f>
        <v>39.3149606299213</v>
      </c>
      <c r="Z50" s="81" t="n">
        <f aca="false">Z21+Z39</f>
        <v>40.6929133858268</v>
      </c>
      <c r="AA50" s="81" t="n">
        <f aca="false">AA21+AA39</f>
        <v>42.0708661417323</v>
      </c>
    </row>
    <row r="51" customFormat="false" ht="15" hidden="false" customHeight="false" outlineLevel="0" collapsed="false">
      <c r="A51" s="16" t="n">
        <v>44</v>
      </c>
      <c r="B51" s="46" t="str">
        <f aca="false">'Stitch Library'!B49</f>
        <v>524 (5/16") / 401 &amp; 514 Stitch</v>
      </c>
      <c r="H51" s="81" t="n">
        <f aca="false">H21+H40</f>
        <v>17.1497637795276</v>
      </c>
      <c r="I51" s="81" t="n">
        <f aca="false">I21+I40</f>
        <v>18.7797165354331</v>
      </c>
      <c r="J51" s="81" t="n">
        <f aca="false">J21+J40</f>
        <v>20.4096692913386</v>
      </c>
      <c r="K51" s="81" t="n">
        <f aca="false">K21+K40</f>
        <v>22.0396220472441</v>
      </c>
      <c r="L51" s="81" t="n">
        <f aca="false">L21+L40</f>
        <v>23.6695748031496</v>
      </c>
      <c r="M51" s="81" t="n">
        <f aca="false">M21+M40</f>
        <v>25.2995275590551</v>
      </c>
      <c r="N51" s="81" t="n">
        <f aca="false">N21+N40</f>
        <v>26.9294803149606</v>
      </c>
      <c r="O51" s="81" t="n">
        <f aca="false">O21+O40</f>
        <v>28.5594330708661</v>
      </c>
      <c r="P51" s="81" t="n">
        <f aca="false">P21+P40</f>
        <v>30.1893858267717</v>
      </c>
      <c r="Q51" s="81" t="n">
        <f aca="false">Q21+Q40</f>
        <v>31.8193385826772</v>
      </c>
      <c r="R51" s="81" t="n">
        <f aca="false">R21+R40</f>
        <v>33.4492913385827</v>
      </c>
      <c r="S51" s="81" t="n">
        <f aca="false">S21+S40</f>
        <v>35.0792440944882</v>
      </c>
      <c r="T51" s="81" t="n">
        <f aca="false">T21+T40</f>
        <v>36.7091968503937</v>
      </c>
      <c r="U51" s="81" t="n">
        <f aca="false">U21+U40</f>
        <v>38.3391496062992</v>
      </c>
      <c r="V51" s="81" t="n">
        <f aca="false">V21+V40</f>
        <v>39.9691023622047</v>
      </c>
      <c r="W51" s="81" t="n">
        <f aca="false">W21+W40</f>
        <v>41.5990551181102</v>
      </c>
      <c r="X51" s="81" t="n">
        <f aca="false">X21+X40</f>
        <v>43.2290078740158</v>
      </c>
      <c r="Y51" s="81" t="n">
        <f aca="false">Y21+Y40</f>
        <v>44.8589606299213</v>
      </c>
      <c r="Z51" s="81" t="n">
        <f aca="false">Z21+Z40</f>
        <v>46.4889133858268</v>
      </c>
      <c r="AA51" s="81" t="n">
        <f aca="false">AA21+AA40</f>
        <v>48.1188661417323</v>
      </c>
    </row>
    <row r="52" customFormat="false" ht="15" hidden="false" customHeight="false" outlineLevel="0" collapsed="false">
      <c r="A52" s="16" t="n">
        <v>45</v>
      </c>
      <c r="B52" s="46" t="str">
        <f aca="false">'Stitch Library'!B50</f>
        <v>602 1/8" 2 Ndl Coverstitch</v>
      </c>
      <c r="H52" s="81" t="n">
        <f aca="false">8+(H$7*(5*0.125)+(4*$C$6))</f>
        <v>11.3139763779528</v>
      </c>
      <c r="I52" s="81" t="n">
        <f aca="false">8+(I$7*(5*0.125)+(4*$C$6))</f>
        <v>11.9389763779528</v>
      </c>
      <c r="J52" s="81" t="n">
        <f aca="false">8+(J$7*(5*0.125)+(4*$C$6))</f>
        <v>12.5639763779528</v>
      </c>
      <c r="K52" s="81" t="n">
        <f aca="false">8+(K$7*(5*0.125)+(4*$C$6))</f>
        <v>13.1889763779528</v>
      </c>
      <c r="L52" s="81" t="n">
        <f aca="false">8+(L$7*(5*0.125)+(4*$C$6))</f>
        <v>13.8139763779528</v>
      </c>
      <c r="M52" s="81" t="n">
        <f aca="false">8+(M$7*(5*0.125)+(4*$C$6))</f>
        <v>14.4389763779528</v>
      </c>
      <c r="N52" s="81" t="n">
        <f aca="false">8+(N$7*(5*0.125)+(4*$C$6))</f>
        <v>15.0639763779528</v>
      </c>
      <c r="O52" s="81" t="n">
        <f aca="false">8+(O$7*(5*0.125)+(4*$C$6))</f>
        <v>15.6889763779528</v>
      </c>
      <c r="P52" s="81" t="n">
        <f aca="false">8+(P$7*(5*0.125)+(4*$C$6))</f>
        <v>16.3139763779528</v>
      </c>
      <c r="Q52" s="81" t="n">
        <f aca="false">8+(Q$7*(5*0.125)+(4*$C$6))</f>
        <v>16.9389763779528</v>
      </c>
      <c r="R52" s="81" t="n">
        <f aca="false">8+(R$7*(5*0.125)+(4*$C$6))</f>
        <v>17.5639763779528</v>
      </c>
      <c r="S52" s="81" t="n">
        <f aca="false">8+(S$7*(5*0.125)+(4*$C$6))</f>
        <v>18.1889763779528</v>
      </c>
      <c r="T52" s="81" t="n">
        <f aca="false">8+(T$7*(5*0.125)+(4*$C$6))</f>
        <v>18.8139763779528</v>
      </c>
      <c r="U52" s="81" t="n">
        <f aca="false">8+(U$7*(5*0.125)+(4*$C$6))</f>
        <v>19.4389763779528</v>
      </c>
      <c r="V52" s="81" t="n">
        <f aca="false">8+(V$7*(5*0.125)+(4*$C$6))</f>
        <v>20.0639763779528</v>
      </c>
      <c r="W52" s="81" t="n">
        <f aca="false">8+(W$7*(5*0.125)+(4*$C$6))</f>
        <v>20.6889763779528</v>
      </c>
      <c r="X52" s="81" t="n">
        <f aca="false">8+(X$7*(5*0.125)+(4*$C$6))</f>
        <v>21.3139763779528</v>
      </c>
      <c r="Y52" s="81" t="n">
        <f aca="false">8+(Y$7*(5*0.125)+(4*$C$6))</f>
        <v>21.9389763779528</v>
      </c>
      <c r="Z52" s="81" t="n">
        <f aca="false">8+(Z$7*(5*0.125)+(4*$C$6))</f>
        <v>22.5639763779528</v>
      </c>
      <c r="AA52" s="81" t="n">
        <f aca="false">8+(AA$7*(5*0.125)+(4*$C$6))</f>
        <v>23.1889763779528</v>
      </c>
    </row>
    <row r="53" customFormat="false" ht="15" hidden="false" customHeight="false" outlineLevel="0" collapsed="false">
      <c r="A53" s="16" t="n">
        <v>46</v>
      </c>
      <c r="B53" s="46" t="str">
        <f aca="false">'Stitch Library'!B51</f>
        <v>602 3/16"m 2 Ndl Coverstitch</v>
      </c>
      <c r="H53" s="81" t="n">
        <f aca="false">8+(H$7*(5*0.188)+(4*$C$6))</f>
        <v>12.8889763779528</v>
      </c>
      <c r="I53" s="81" t="n">
        <f aca="false">8+(I$7*(5*0.188)+(4*$C$6))</f>
        <v>13.8289763779528</v>
      </c>
      <c r="J53" s="81" t="n">
        <f aca="false">8+(J$7*(5*0.188)+(4*$C$6))</f>
        <v>14.7689763779528</v>
      </c>
      <c r="K53" s="81" t="n">
        <f aca="false">8+(K$7*(5*0.188)+(4*$C$6))</f>
        <v>15.7089763779528</v>
      </c>
      <c r="L53" s="81" t="n">
        <f aca="false">8+(L$7*(5*0.188)+(4*$C$6))</f>
        <v>16.6489763779528</v>
      </c>
      <c r="M53" s="81" t="n">
        <f aca="false">8+(M$7*(5*0.188)+(4*$C$6))</f>
        <v>17.5889763779528</v>
      </c>
      <c r="N53" s="81" t="n">
        <f aca="false">8+(N$7*(5*0.188)+(4*$C$6))</f>
        <v>18.5289763779528</v>
      </c>
      <c r="O53" s="81" t="n">
        <f aca="false">8+(O$7*(5*0.188)+(4*$C$6))</f>
        <v>19.4689763779528</v>
      </c>
      <c r="P53" s="81" t="n">
        <f aca="false">8+(P$7*(5*0.188)+(4*$C$6))</f>
        <v>20.4089763779528</v>
      </c>
      <c r="Q53" s="81" t="n">
        <f aca="false">8+(Q$7*(5*0.188)+(4*$C$6))</f>
        <v>21.3489763779528</v>
      </c>
      <c r="R53" s="81" t="n">
        <f aca="false">8+(R$7*(5*0.188)+(4*$C$6))</f>
        <v>22.2889763779528</v>
      </c>
      <c r="S53" s="81" t="n">
        <f aca="false">8+(S$7*(5*0.188)+(4*$C$6))</f>
        <v>23.2289763779528</v>
      </c>
      <c r="T53" s="81" t="n">
        <f aca="false">8+(T$7*(5*0.188)+(4*$C$6))</f>
        <v>24.1689763779528</v>
      </c>
      <c r="U53" s="81" t="n">
        <f aca="false">8+(U$7*(5*0.188)+(4*$C$6))</f>
        <v>25.1089763779528</v>
      </c>
      <c r="V53" s="81" t="n">
        <f aca="false">8+(V$7*(5*0.188)+(4*$C$6))</f>
        <v>26.0489763779528</v>
      </c>
      <c r="W53" s="81" t="n">
        <f aca="false">8+(W$7*(5*0.188)+(4*$C$6))</f>
        <v>26.9889763779528</v>
      </c>
      <c r="X53" s="81" t="n">
        <f aca="false">8+(X$7*(5*0.188)+(4*$C$6))</f>
        <v>27.9289763779528</v>
      </c>
      <c r="Y53" s="81" t="n">
        <f aca="false">8+(Y$7*(5*0.188)+(4*$C$6))</f>
        <v>28.8689763779528</v>
      </c>
      <c r="Z53" s="81" t="n">
        <f aca="false">8+(Z$7*(5*0.188)+(4*$C$6))</f>
        <v>29.8089763779528</v>
      </c>
      <c r="AA53" s="81" t="n">
        <f aca="false">8+(AA$7*(5*0.188)+(4*$C$6))</f>
        <v>30.7489763779528</v>
      </c>
    </row>
    <row r="54" customFormat="false" ht="15" hidden="false" customHeight="false" outlineLevel="0" collapsed="false">
      <c r="A54" s="16" t="n">
        <v>47</v>
      </c>
      <c r="B54" s="46" t="str">
        <f aca="false">'Stitch Library'!B52</f>
        <v>602 1/4" 2 Ndl Coverstitch</v>
      </c>
      <c r="H54" s="81" t="n">
        <f aca="false">8+(H$7*(5*0.25)+(4*$C$6))</f>
        <v>14.4389763779528</v>
      </c>
      <c r="I54" s="81" t="n">
        <f aca="false">8+(I$7*(5*0.25)+(4*$C$6))</f>
        <v>15.6889763779528</v>
      </c>
      <c r="J54" s="81" t="n">
        <f aca="false">8+(J$7*(5*0.25)+(4*$C$6))</f>
        <v>16.9389763779528</v>
      </c>
      <c r="K54" s="81" t="n">
        <f aca="false">8+(K$7*(5*0.25)+(4*$C$6))</f>
        <v>18.1889763779528</v>
      </c>
      <c r="L54" s="81" t="n">
        <f aca="false">8+(L$7*(5*0.25)+(4*$C$6))</f>
        <v>19.4389763779528</v>
      </c>
      <c r="M54" s="81" t="n">
        <f aca="false">8+(M$7*(5*0.25)+(4*$C$6))</f>
        <v>20.6889763779528</v>
      </c>
      <c r="N54" s="81" t="n">
        <f aca="false">8+(N$7*(5*0.25)+(4*$C$6))</f>
        <v>21.9389763779528</v>
      </c>
      <c r="O54" s="81" t="n">
        <f aca="false">8+(O$7*(5*0.25)+(4*$C$6))</f>
        <v>23.1889763779528</v>
      </c>
      <c r="P54" s="81" t="n">
        <f aca="false">8+(P$7*(5*0.25)+(4*$C$6))</f>
        <v>24.4389763779528</v>
      </c>
      <c r="Q54" s="81" t="n">
        <f aca="false">8+(Q$7*(5*0.25)+(4*$C$6))</f>
        <v>25.6889763779528</v>
      </c>
      <c r="R54" s="81" t="n">
        <f aca="false">8+(R$7*(5*0.25)+(4*$C$6))</f>
        <v>26.9389763779528</v>
      </c>
      <c r="S54" s="81" t="n">
        <f aca="false">8+(S$7*(5*0.25)+(4*$C$6))</f>
        <v>28.1889763779528</v>
      </c>
      <c r="T54" s="81" t="n">
        <f aca="false">8+(T$7*(5*0.25)+(4*$C$6))</f>
        <v>29.4389763779528</v>
      </c>
      <c r="U54" s="81" t="n">
        <f aca="false">8+(U$7*(5*0.25)+(4*$C$6))</f>
        <v>30.6889763779528</v>
      </c>
      <c r="V54" s="81" t="n">
        <f aca="false">8+(V$7*(5*0.25)+(4*$C$6))</f>
        <v>31.9389763779528</v>
      </c>
      <c r="W54" s="81" t="n">
        <f aca="false">8+(W$7*(5*0.25)+(4*$C$6))</f>
        <v>33.1889763779528</v>
      </c>
      <c r="X54" s="81" t="n">
        <f aca="false">8+(X$7*(5*0.25)+(4*$C$6))</f>
        <v>34.4389763779528</v>
      </c>
      <c r="Y54" s="81" t="n">
        <f aca="false">8+(Y$7*(5*0.25)+(4*$C$6))</f>
        <v>35.6889763779528</v>
      </c>
      <c r="Z54" s="81" t="n">
        <f aca="false">8+(Z$7*(5*0.25)+(4*$C$6))</f>
        <v>36.9389763779528</v>
      </c>
      <c r="AA54" s="81" t="n">
        <f aca="false">8+(AA$7*(5*0.25)+(4*$C$6))</f>
        <v>38.1889763779528</v>
      </c>
    </row>
    <row r="55" customFormat="false" ht="15" hidden="false" customHeight="false" outlineLevel="0" collapsed="false">
      <c r="A55" s="16" t="n">
        <v>48</v>
      </c>
      <c r="B55" s="46" t="str">
        <f aca="false">'Stitch Library'!B53</f>
        <v>605 3 Ndl Coverstitch</v>
      </c>
      <c r="H55" s="81" t="n">
        <f aca="false">10+(2*(H$7*((2*0.25)+(3*$C$6))))</f>
        <v>16.4173228346457</v>
      </c>
      <c r="I55" s="81" t="n">
        <f aca="false">10+(2*(I$7*((2*0.25)+(3*$C$6))))</f>
        <v>17.7007874015748</v>
      </c>
      <c r="J55" s="81" t="n">
        <f aca="false">10+(2*(J$7*((2*0.25)+(3*$C$6))))</f>
        <v>18.9842519685039</v>
      </c>
      <c r="K55" s="81" t="n">
        <f aca="false">10+(2*(K$7*((2*0.25)+(3*$C$6))))</f>
        <v>20.2677165354331</v>
      </c>
      <c r="L55" s="81" t="n">
        <f aca="false">10+(2*(L$7*((2*0.25)+(3*$C$6))))</f>
        <v>21.5511811023622</v>
      </c>
      <c r="M55" s="81" t="n">
        <f aca="false">10+(2*(M$7*((2*0.25)+(3*$C$6))))</f>
        <v>22.8346456692913</v>
      </c>
      <c r="N55" s="81" t="n">
        <f aca="false">10+(2*(N$7*((2*0.25)+(3*$C$6))))</f>
        <v>24.1181102362205</v>
      </c>
      <c r="O55" s="81" t="n">
        <f aca="false">10+(2*(O$7*((2*0.25)+(3*$C$6))))</f>
        <v>25.4015748031496</v>
      </c>
      <c r="P55" s="81" t="n">
        <f aca="false">10+(2*(P$7*((2*0.25)+(3*$C$6))))</f>
        <v>26.6850393700787</v>
      </c>
      <c r="Q55" s="81" t="n">
        <f aca="false">10+(2*(Q$7*((2*0.25)+(3*$C$6))))</f>
        <v>27.9685039370079</v>
      </c>
      <c r="R55" s="81" t="n">
        <f aca="false">10+(2*(R$7*((2*0.25)+(3*$C$6))))</f>
        <v>29.251968503937</v>
      </c>
      <c r="S55" s="81" t="n">
        <f aca="false">10+(2*(S$7*((2*0.25)+(3*$C$6))))</f>
        <v>30.5354330708661</v>
      </c>
      <c r="T55" s="81" t="n">
        <f aca="false">10+(2*(T$7*((2*0.25)+(3*$C$6))))</f>
        <v>31.8188976377953</v>
      </c>
      <c r="U55" s="81" t="n">
        <f aca="false">10+(2*(U$7*((2*0.25)+(3*$C$6))))</f>
        <v>33.1023622047244</v>
      </c>
      <c r="V55" s="81" t="n">
        <f aca="false">10+(2*(V$7*((2*0.25)+(3*$C$6))))</f>
        <v>34.3858267716535</v>
      </c>
      <c r="W55" s="81" t="n">
        <f aca="false">10+(2*(W$7*((2*0.25)+(3*$C$6))))</f>
        <v>35.6692913385827</v>
      </c>
      <c r="X55" s="81" t="n">
        <f aca="false">10+(2*(X$7*((2*0.25)+(3*$C$6))))</f>
        <v>36.9527559055118</v>
      </c>
      <c r="Y55" s="81" t="n">
        <f aca="false">10+(2*(Y$7*((2*0.25)+(3*$C$6))))</f>
        <v>38.236220472441</v>
      </c>
      <c r="Z55" s="81" t="n">
        <f aca="false">10+(2*(Z$7*((2*0.25)+(3*$C$6))))</f>
        <v>39.5196850393701</v>
      </c>
      <c r="AA55" s="81" t="n">
        <f aca="false">10+(2*(AA$7*((2*0.25)+(3*$C$6))))</f>
        <v>40.8031496062992</v>
      </c>
    </row>
    <row r="56" customFormat="false" ht="15" hidden="false" customHeight="false" outlineLevel="0" collapsed="false">
      <c r="A56" s="16" t="n">
        <v>49</v>
      </c>
      <c r="B56" s="46" t="str">
        <f aca="false">'Stitch Library'!B54</f>
        <v>607 4 Ndl Coverstitch</v>
      </c>
      <c r="H56" s="81" t="n">
        <f aca="false">12+4*H$7*((0.25)+(2*$C$6))</f>
        <v>18.8897637795276</v>
      </c>
      <c r="I56" s="81" t="n">
        <f aca="false">12+4*I$7*((0.25)+(2*$C$6))</f>
        <v>20.2677165354331</v>
      </c>
      <c r="J56" s="81" t="n">
        <f aca="false">12+4*J$7*((0.25)+(2*$C$6))</f>
        <v>21.6456692913386</v>
      </c>
      <c r="K56" s="81" t="n">
        <f aca="false">12+4*K$7*((0.25)+(2*$C$6))</f>
        <v>23.0236220472441</v>
      </c>
      <c r="L56" s="81" t="n">
        <f aca="false">12+4*L$7*((0.25)+(2*$C$6))</f>
        <v>24.4015748031496</v>
      </c>
      <c r="M56" s="81" t="n">
        <f aca="false">12+4*M$7*((0.25)+(2*$C$6))</f>
        <v>25.7795275590551</v>
      </c>
      <c r="N56" s="81" t="n">
        <f aca="false">12+4*N$7*((0.25)+(2*$C$6))</f>
        <v>27.1574803149606</v>
      </c>
      <c r="O56" s="81" t="n">
        <f aca="false">12+4*O$7*((0.25)+(2*$C$6))</f>
        <v>28.5354330708661</v>
      </c>
      <c r="P56" s="81" t="n">
        <f aca="false">12+4*P$7*((0.25)+(2*$C$6))</f>
        <v>29.9133858267717</v>
      </c>
      <c r="Q56" s="81" t="n">
        <f aca="false">12+4*Q$7*((0.25)+(2*$C$6))</f>
        <v>31.2913385826772</v>
      </c>
      <c r="R56" s="81" t="n">
        <f aca="false">12+4*R$7*((0.25)+(2*$C$6))</f>
        <v>32.6692913385827</v>
      </c>
      <c r="S56" s="81" t="n">
        <f aca="false">12+4*S$7*((0.25)+(2*$C$6))</f>
        <v>34.0472440944882</v>
      </c>
      <c r="T56" s="81" t="n">
        <f aca="false">12+4*T$7*((0.25)+(2*$C$6))</f>
        <v>35.4251968503937</v>
      </c>
      <c r="U56" s="81" t="n">
        <f aca="false">12+4*U$7*((0.25)+(2*$C$6))</f>
        <v>36.8031496062992</v>
      </c>
      <c r="V56" s="81" t="n">
        <f aca="false">12+4*V$7*((0.25)+(2*$C$6))</f>
        <v>38.1811023622047</v>
      </c>
      <c r="W56" s="81" t="n">
        <f aca="false">12+4*W$7*((0.25)+(2*$C$6))</f>
        <v>39.5590551181102</v>
      </c>
      <c r="X56" s="81" t="n">
        <f aca="false">12+4*X$7*((0.25)+(2*$C$6))</f>
        <v>40.9370078740158</v>
      </c>
      <c r="Y56" s="81" t="n">
        <f aca="false">12+4*Y$7*((0.25)+(2*$C$6))</f>
        <v>42.3149606299213</v>
      </c>
      <c r="Z56" s="81" t="n">
        <f aca="false">12+4*Z$7*((0.25)+(2*$C$6))</f>
        <v>43.6929133858268</v>
      </c>
      <c r="AA56" s="81" t="n">
        <f aca="false">12+4*AA$7*((0.25)+(2*$C$6))</f>
        <v>45.0708661417323</v>
      </c>
    </row>
    <row r="57" customFormat="false" ht="15" hidden="false" customHeight="false" outlineLevel="0" collapsed="false">
      <c r="A57" s="16" t="n">
        <v>50</v>
      </c>
      <c r="B57" s="46" t="str">
        <f aca="false">'Stitch Library'!B55</f>
        <v>Bartack 3/8"</v>
      </c>
      <c r="D57" s="80" t="n">
        <v>13</v>
      </c>
    </row>
    <row r="58" customFormat="false" ht="15" hidden="false" customHeight="false" outlineLevel="0" collapsed="false">
      <c r="A58" s="16" t="n">
        <v>51</v>
      </c>
      <c r="B58" s="46" t="str">
        <f aca="false">'Stitch Library'!B56</f>
        <v>Bartack 1/2"</v>
      </c>
      <c r="D58" s="80" t="n">
        <v>17</v>
      </c>
    </row>
    <row r="59" customFormat="false" ht="15" hidden="false" customHeight="false" outlineLevel="0" collapsed="false">
      <c r="A59" s="16" t="n">
        <v>52</v>
      </c>
      <c r="B59" s="46" t="str">
        <f aca="false">'Stitch Library'!B57</f>
        <v>Bartack 3/4"</v>
      </c>
      <c r="D59" s="80" t="n">
        <v>24</v>
      </c>
    </row>
    <row r="60" customFormat="false" ht="15" hidden="false" customHeight="false" outlineLevel="0" collapsed="false">
      <c r="A60" s="16" t="n">
        <v>53</v>
      </c>
      <c r="B60" s="46" t="str">
        <f aca="false">'Stitch Library'!B58</f>
        <v>BS 2 hole</v>
      </c>
      <c r="D60" s="80" t="n">
        <v>4</v>
      </c>
    </row>
    <row r="61" customFormat="false" ht="15" hidden="false" customHeight="false" outlineLevel="0" collapsed="false">
      <c r="A61" s="16" t="n">
        <v>54</v>
      </c>
      <c r="B61" s="46" t="str">
        <f aca="false">'Stitch Library'!B59</f>
        <v>BS 4 hole</v>
      </c>
      <c r="D61" s="80" t="n">
        <v>8</v>
      </c>
    </row>
    <row r="62" customFormat="false" ht="15" hidden="false" customHeight="false" outlineLevel="0" collapsed="false">
      <c r="A62" s="16" t="n">
        <v>55</v>
      </c>
      <c r="B62" s="46" t="str">
        <f aca="false">'Stitch Library'!B60</f>
        <v>BH 5/8"</v>
      </c>
      <c r="D62" s="80" t="n">
        <v>25</v>
      </c>
    </row>
    <row r="63" customFormat="false" ht="15" hidden="false" customHeight="false" outlineLevel="0" collapsed="false">
      <c r="A63" s="16" t="n">
        <v>56</v>
      </c>
      <c r="B63" s="46" t="str">
        <f aca="false">'Stitch Library'!B61</f>
        <v>BH Gimp 5/8"</v>
      </c>
      <c r="D63" s="80" t="n">
        <v>4</v>
      </c>
    </row>
    <row r="64" customFormat="false" ht="15" hidden="false" customHeight="false" outlineLevel="0" collapsed="false">
      <c r="A64" s="16" t="n">
        <v>57</v>
      </c>
      <c r="B64" s="46" t="str">
        <f aca="false">'Stitch Library'!B62</f>
        <v>BH 3/4"</v>
      </c>
      <c r="D64" s="80" t="n">
        <v>30</v>
      </c>
    </row>
    <row r="65" customFormat="false" ht="15" hidden="false" customHeight="false" outlineLevel="0" collapsed="false">
      <c r="A65" s="16" t="n">
        <v>58</v>
      </c>
      <c r="B65" s="46" t="str">
        <f aca="false">'Stitch Library'!B63</f>
        <v>BH Gimp 3/4"</v>
      </c>
      <c r="D65" s="80" t="n">
        <v>5</v>
      </c>
    </row>
    <row r="66" customFormat="false" ht="15" hidden="false" customHeight="false" outlineLevel="0" collapsed="false">
      <c r="A66" s="16" t="n">
        <v>59</v>
      </c>
      <c r="B66" s="46" t="str">
        <f aca="false">'Stitch Library'!B64</f>
        <v>BH 1"</v>
      </c>
      <c r="D66" s="80" t="n">
        <v>39</v>
      </c>
    </row>
    <row r="67" customFormat="false" ht="15" hidden="false" customHeight="false" outlineLevel="0" collapsed="false">
      <c r="A67" s="16" t="n">
        <v>60</v>
      </c>
      <c r="B67" s="46" t="str">
        <f aca="false">'Stitch Library'!B65</f>
        <v>BH Gimp 1"</v>
      </c>
      <c r="D67" s="80" t="n">
        <v>8</v>
      </c>
    </row>
    <row r="68" customFormat="false" ht="15" hidden="false" customHeight="false" outlineLevel="0" collapsed="false">
      <c r="A68" s="16" t="n">
        <v>61</v>
      </c>
      <c r="B68" s="46" t="str">
        <f aca="false">'Stitch Library'!B66</f>
        <v>Embroidery = 350</v>
      </c>
      <c r="D68" s="80" t="n">
        <v>313</v>
      </c>
    </row>
    <row r="69" customFormat="false" ht="15" hidden="false" customHeight="false" outlineLevel="0" collapsed="false">
      <c r="A69" s="16" t="n">
        <v>62</v>
      </c>
      <c r="B69" s="46" t="str">
        <f aca="false">'Stitch Library'!B67</f>
        <v>Embroidery = 500</v>
      </c>
      <c r="D69" s="80" t="n">
        <v>373</v>
      </c>
    </row>
    <row r="70" customFormat="false" ht="15" hidden="false" customHeight="false" outlineLevel="0" collapsed="false">
      <c r="A70" s="16" t="n">
        <v>63</v>
      </c>
      <c r="B70" s="46" t="str">
        <f aca="false">'Stitch Library'!B68</f>
        <v>Embroidery = 1000</v>
      </c>
      <c r="D70" s="80" t="n">
        <v>573</v>
      </c>
    </row>
    <row r="71" customFormat="false" ht="15" hidden="false" customHeight="false" outlineLevel="0" collapsed="false">
      <c r="A71" s="16" t="n">
        <v>64</v>
      </c>
      <c r="B71" s="46" t="str">
        <f aca="false">'Stitch Library'!B69</f>
        <v>Embroidery = 1500</v>
      </c>
      <c r="D71" s="80" t="n">
        <v>773</v>
      </c>
    </row>
    <row r="72" customFormat="false" ht="15" hidden="false" customHeight="false" outlineLevel="0" collapsed="false">
      <c r="A72" s="16" t="n">
        <v>65</v>
      </c>
      <c r="B72" s="46" t="str">
        <f aca="false">'Stitch Library'!B70</f>
        <v>Embroidery = 2000</v>
      </c>
      <c r="D72" s="80" t="n">
        <v>974</v>
      </c>
    </row>
    <row r="73" customFormat="false" ht="15" hidden="false" customHeight="false" outlineLevel="0" collapsed="false">
      <c r="A73" s="16" t="n">
        <v>66</v>
      </c>
      <c r="B73" s="46" t="str">
        <f aca="false">'Stitch Library'!B71</f>
        <v>Embroidery = 2500</v>
      </c>
      <c r="D73" s="80" t="n">
        <v>1174</v>
      </c>
    </row>
    <row r="74" customFormat="false" ht="15" hidden="false" customHeight="false" outlineLevel="0" collapsed="false">
      <c r="A74" s="16" t="n">
        <v>67</v>
      </c>
      <c r="B74" s="46" t="str">
        <f aca="false">'Stitch Library'!B72</f>
        <v>Embroidery = 3000</v>
      </c>
      <c r="D74" s="80" t="n">
        <v>1374</v>
      </c>
    </row>
    <row r="75" customFormat="false" ht="15" hidden="false" customHeight="false" outlineLevel="0" collapsed="false">
      <c r="A75" s="16" t="n">
        <v>68</v>
      </c>
      <c r="B75" s="46" t="str">
        <f aca="false">'Stitch Library'!B73</f>
        <v>Cap Eyelet Stitch (5/16")</v>
      </c>
      <c r="D75" s="80" t="n">
        <v>90</v>
      </c>
    </row>
    <row r="79" customFormat="false" ht="15" hidden="false" customHeight="false" outlineLevel="0" collapsed="false">
      <c r="A79" s="79" t="s">
        <v>313</v>
      </c>
    </row>
    <row r="80" customFormat="false" ht="15" hidden="false" customHeight="false" outlineLevel="0" collapsed="false">
      <c r="B80" s="10" t="s">
        <v>310</v>
      </c>
      <c r="C80" s="72" t="n">
        <f aca="false">Setup!$C$15</f>
        <v>1.9</v>
      </c>
    </row>
    <row r="81" customFormat="false" ht="15" hidden="false" customHeight="false" outlineLevel="0" collapsed="false">
      <c r="B81" s="10" t="s">
        <v>311</v>
      </c>
      <c r="C81" s="18" t="n">
        <f aca="false">C80/25.4</f>
        <v>0.0748031496062992</v>
      </c>
    </row>
    <row r="82" customFormat="false" ht="15" hidden="false" customHeight="false" outlineLevel="0" collapsed="false">
      <c r="A82" s="13" t="s">
        <v>174</v>
      </c>
      <c r="B82" s="13" t="s">
        <v>312</v>
      </c>
      <c r="C82" s="13"/>
      <c r="D82" s="13" t="n">
        <v>1</v>
      </c>
      <c r="E82" s="13" t="n">
        <v>2</v>
      </c>
      <c r="F82" s="13" t="n">
        <v>3</v>
      </c>
      <c r="G82" s="13" t="n">
        <v>4</v>
      </c>
      <c r="H82" s="13" t="n">
        <v>5</v>
      </c>
      <c r="I82" s="13" t="n">
        <v>6</v>
      </c>
      <c r="J82" s="13" t="n">
        <v>7</v>
      </c>
      <c r="K82" s="13" t="n">
        <v>8</v>
      </c>
      <c r="L82" s="13" t="n">
        <v>9</v>
      </c>
      <c r="M82" s="13" t="n">
        <v>10</v>
      </c>
      <c r="N82" s="13" t="n">
        <v>11</v>
      </c>
      <c r="O82" s="13" t="n">
        <v>12</v>
      </c>
      <c r="P82" s="13" t="n">
        <v>13</v>
      </c>
      <c r="Q82" s="13" t="n">
        <v>14</v>
      </c>
      <c r="R82" s="13" t="n">
        <v>15</v>
      </c>
      <c r="S82" s="13" t="n">
        <v>16</v>
      </c>
      <c r="T82" s="13" t="n">
        <v>17</v>
      </c>
      <c r="U82" s="13" t="n">
        <v>18</v>
      </c>
      <c r="V82" s="13" t="n">
        <v>19</v>
      </c>
      <c r="W82" s="13" t="n">
        <v>20</v>
      </c>
      <c r="X82" s="13" t="n">
        <v>21</v>
      </c>
      <c r="Y82" s="13" t="n">
        <v>22</v>
      </c>
      <c r="Z82" s="13" t="n">
        <v>23</v>
      </c>
      <c r="AA82" s="13" t="n">
        <v>24</v>
      </c>
    </row>
    <row r="83" customFormat="false" ht="15" hidden="false" customHeight="false" outlineLevel="0" collapsed="false">
      <c r="A83" s="16" t="n">
        <v>1</v>
      </c>
      <c r="B83" s="46" t="str">
        <f aca="false">'Stitch Library'!B6</f>
        <v>103 Blindstitch</v>
      </c>
      <c r="F83" s="80" t="n">
        <v>3.42</v>
      </c>
      <c r="G83" s="80" t="n">
        <v>3.56</v>
      </c>
      <c r="H83" s="80" t="n">
        <v>3.7</v>
      </c>
      <c r="I83" s="80" t="n">
        <v>3.84</v>
      </c>
      <c r="J83" s="80" t="n">
        <v>3.98</v>
      </c>
      <c r="K83" s="80" t="n">
        <v>4.12</v>
      </c>
      <c r="L83" s="80" t="n">
        <v>4.26</v>
      </c>
      <c r="M83" s="80" t="n">
        <v>4.4</v>
      </c>
    </row>
    <row r="84" customFormat="false" ht="15" hidden="false" customHeight="false" outlineLevel="0" collapsed="false">
      <c r="A84" s="16" t="n">
        <v>2</v>
      </c>
      <c r="B84" s="46" t="str">
        <f aca="false">'Stitch Library'!B7</f>
        <v>108 (1.2mm) Saddlestitch</v>
      </c>
      <c r="E84" s="81" t="n">
        <f aca="false">E$82*((4*$C$81)+(2*0.048)+(3*(1/E$82)))</f>
        <v>3.79042519685039</v>
      </c>
      <c r="F84" s="81" t="n">
        <f aca="false">F$82*((4*$C$81)+(2*0.048)+(3*(1/F$82)))</f>
        <v>4.18563779527559</v>
      </c>
      <c r="G84" s="81" t="n">
        <f aca="false">G$82*((4*$C$81)+(2*0.048)+(3*(1/G$82)))</f>
        <v>4.58085039370079</v>
      </c>
      <c r="H84" s="81" t="n">
        <f aca="false">H$82*((4*$C$81)+(2*0.048)+(3*(1/H$82)))</f>
        <v>4.97606299212599</v>
      </c>
      <c r="I84" s="81" t="n">
        <f aca="false">I$82*((4*$C$81)+(2*0.048)+(3*(1/I$82)))</f>
        <v>5.37127559055118</v>
      </c>
      <c r="J84" s="81" t="n">
        <f aca="false">J$82*((4*$C$81)+(2*0.048)+(3*(1/J$82)))</f>
        <v>5.76648818897638</v>
      </c>
      <c r="K84" s="81" t="n">
        <f aca="false">K$82*((4*$C$81)+(2*0.048)+(3*(1/K$82)))</f>
        <v>6.16170078740158</v>
      </c>
      <c r="L84" s="81" t="n">
        <f aca="false">L$82*((4*$C$81)+(2*0.048)+(3*(1/L$82)))</f>
        <v>6.55691338582677</v>
      </c>
      <c r="M84" s="81" t="n">
        <f aca="false">M$82*((4*$C$81)+(2*0.048)+(3*(1/M$82)))</f>
        <v>6.95212598425197</v>
      </c>
    </row>
    <row r="85" customFormat="false" ht="15" hidden="false" customHeight="false" outlineLevel="0" collapsed="false">
      <c r="A85" s="16" t="n">
        <v>3</v>
      </c>
      <c r="B85" s="46" t="str">
        <f aca="false">'Stitch Library'!B8</f>
        <v>108 (3mm) Saddlestitch</v>
      </c>
      <c r="E85" s="81" t="n">
        <f aca="false">E$82*((4*$C$81)+(2*0.12)+(3*(1/E$82)))</f>
        <v>4.07842519685039</v>
      </c>
      <c r="F85" s="81" t="n">
        <f aca="false">F$82*((4*$C$81)+(2*0.12)+(3*(1/F$82)))</f>
        <v>4.61763779527559</v>
      </c>
      <c r="G85" s="81" t="n">
        <f aca="false">G$82*((4*$C$81)+(2*0.12)+(3*(1/G$82)))</f>
        <v>5.15685039370079</v>
      </c>
      <c r="H85" s="81" t="n">
        <f aca="false">H$82*((4*$C$81)+(2*0.12)+(3*(1/H$82)))</f>
        <v>5.69606299212599</v>
      </c>
      <c r="I85" s="81" t="n">
        <f aca="false">I$82*((4*$C$81)+(2*0.12)+(3*(1/I$82)))</f>
        <v>6.23527559055118</v>
      </c>
      <c r="J85" s="81" t="n">
        <f aca="false">J$82*((4*$C$81)+(2*0.12)+(3*(1/J$82)))</f>
        <v>6.77448818897638</v>
      </c>
      <c r="K85" s="81" t="n">
        <f aca="false">K$82*((4*$C$81)+(2*0.12)+(3*(1/K$82)))</f>
        <v>7.31370078740158</v>
      </c>
      <c r="L85" s="81" t="n">
        <f aca="false">L$82*((4*$C$81)+(2*0.12)+(3*(1/L$82)))</f>
        <v>7.85291338582677</v>
      </c>
      <c r="M85" s="81" t="n">
        <f aca="false">M$82*((4*$C$81)+(2*0.12)+(3*(1/M$82)))</f>
        <v>8.39212598425197</v>
      </c>
    </row>
    <row r="86" customFormat="false" ht="15" hidden="false" customHeight="false" outlineLevel="0" collapsed="false">
      <c r="A86" s="16" t="n">
        <v>4</v>
      </c>
      <c r="B86" s="46" t="str">
        <f aca="false">'Stitch Library'!B9</f>
        <v>108 (5mm) Saddlestitch</v>
      </c>
      <c r="E86" s="81" t="n">
        <f aca="false">E$82*((4*$C$81)+(2*0.2)+(3*(1/E$82)))</f>
        <v>4.39842519685039</v>
      </c>
      <c r="F86" s="81" t="n">
        <f aca="false">F$82*((4*$C$81)+(2*0.2)+(3*(1/F$82)))</f>
        <v>5.09763779527559</v>
      </c>
      <c r="G86" s="81" t="n">
        <f aca="false">G$82*((4*$C$81)+(2*0.2)+(3*(1/G$82)))</f>
        <v>5.79685039370079</v>
      </c>
      <c r="H86" s="81" t="n">
        <f aca="false">H$82*((4*$C$81)+(2*0.2)+(3*(1/H$82)))</f>
        <v>6.49606299212599</v>
      </c>
      <c r="I86" s="81" t="n">
        <f aca="false">I$82*((4*$C$81)+(2*0.2)+(3*(1/I$82)))</f>
        <v>7.19527559055118</v>
      </c>
      <c r="J86" s="81" t="n">
        <f aca="false">J$82*((4*$C$81)+(2*0.2)+(3*(1/J$82)))</f>
        <v>7.89448818897638</v>
      </c>
      <c r="K86" s="81" t="n">
        <f aca="false">K$82*((4*$C$81)+(2*0.2)+(3*(1/K$82)))</f>
        <v>8.59370078740158</v>
      </c>
      <c r="L86" s="81" t="n">
        <f aca="false">L$82*((4*$C$81)+(2*0.2)+(3*(1/L$82)))</f>
        <v>9.29291338582677</v>
      </c>
      <c r="M86" s="81" t="n">
        <f aca="false">M$82*((4*$C$81)+(2*0.2)+(3*(1/M$82)))</f>
        <v>9.99212598425197</v>
      </c>
    </row>
    <row r="87" customFormat="false" ht="15" hidden="false" customHeight="false" outlineLevel="0" collapsed="false">
      <c r="A87" s="16" t="n">
        <v>5</v>
      </c>
      <c r="B87" s="46" t="str">
        <f aca="false">'Stitch Library'!B10</f>
        <v>201 Saddle Stitch</v>
      </c>
      <c r="H87" s="81" t="n">
        <f aca="false">1+1*($C$81*H$82)</f>
        <v>1.3740157480315</v>
      </c>
      <c r="I87" s="81" t="n">
        <f aca="false">1+1*($C$81*I$82)</f>
        <v>1.4488188976378</v>
      </c>
      <c r="J87" s="81" t="n">
        <f aca="false">1+1*($C$81*J$82)</f>
        <v>1.52362204724409</v>
      </c>
      <c r="K87" s="81" t="n">
        <f aca="false">1+1*($C$81*K$82)</f>
        <v>1.59842519685039</v>
      </c>
      <c r="L87" s="81" t="n">
        <f aca="false">1+1*($C$81*L$82)</f>
        <v>1.67322834645669</v>
      </c>
      <c r="M87" s="81" t="n">
        <f aca="false">1+1*($C$81*M$82)</f>
        <v>1.74803149606299</v>
      </c>
      <c r="N87" s="81" t="n">
        <f aca="false">1+1*($C$81*N$82)</f>
        <v>1.82283464566929</v>
      </c>
      <c r="O87" s="81" t="n">
        <f aca="false">1+1*($C$81*O$82)</f>
        <v>1.89763779527559</v>
      </c>
      <c r="P87" s="81" t="n">
        <f aca="false">1+1*($C$81*P$82)</f>
        <v>1.97244094488189</v>
      </c>
      <c r="Q87" s="81" t="n">
        <f aca="false">1+1*($C$81*Q$82)</f>
        <v>2.04724409448819</v>
      </c>
      <c r="R87" s="81" t="n">
        <f aca="false">1+1*($C$81*R$82)</f>
        <v>2.12204724409449</v>
      </c>
      <c r="S87" s="81" t="n">
        <f aca="false">1+1*($C$81*S$82)</f>
        <v>2.19685039370079</v>
      </c>
      <c r="T87" s="81" t="n">
        <f aca="false">1+1*($C$81*T$82)</f>
        <v>2.27165354330709</v>
      </c>
      <c r="U87" s="81" t="n">
        <f aca="false">1+1*($C$81*U$82)</f>
        <v>2.34645669291339</v>
      </c>
      <c r="V87" s="81" t="n">
        <f aca="false">1+1*($C$81*V$82)</f>
        <v>2.42125984251969</v>
      </c>
      <c r="W87" s="81" t="n">
        <f aca="false">1+1*($C$81*W$82)</f>
        <v>2.49606299212598</v>
      </c>
      <c r="X87" s="81" t="n">
        <f aca="false">1+1*($C$81*X$82)</f>
        <v>2.57086614173228</v>
      </c>
      <c r="Y87" s="81" t="n">
        <f aca="false">1+1*($C$81*Y$82)</f>
        <v>2.64566929133858</v>
      </c>
      <c r="Z87" s="81" t="n">
        <f aca="false">1+1*($C$81*Z$82)</f>
        <v>2.72047244094488</v>
      </c>
      <c r="AA87" s="81" t="n">
        <f aca="false">1+1*($C$81*AA$82)</f>
        <v>2.79527559055118</v>
      </c>
    </row>
    <row r="88" customFormat="false" ht="15" hidden="false" customHeight="false" outlineLevel="0" collapsed="false">
      <c r="A88" s="16" t="n">
        <v>6</v>
      </c>
      <c r="B88" s="46" t="str">
        <f aca="false">'Stitch Library'!B11</f>
        <v>101 Single Needle Chain</v>
      </c>
      <c r="F88" s="81" t="n">
        <f aca="false">3+2*($C$81*F$82)</f>
        <v>3.4488188976378</v>
      </c>
      <c r="G88" s="81" t="n">
        <f aca="false">3+2*($C$81*G$82)</f>
        <v>3.59842519685039</v>
      </c>
      <c r="H88" s="81" t="n">
        <f aca="false">3+2*($C$81*H$82)</f>
        <v>3.74803149606299</v>
      </c>
      <c r="I88" s="81" t="n">
        <f aca="false">3+2*($C$81*I$82)</f>
        <v>3.89763779527559</v>
      </c>
      <c r="J88" s="81" t="n">
        <f aca="false">3+2*($C$81*J$82)</f>
        <v>4.04724409448819</v>
      </c>
      <c r="K88" s="81" t="n">
        <f aca="false">3+2*($C$81*K$82)</f>
        <v>4.19685039370079</v>
      </c>
      <c r="L88" s="81" t="n">
        <f aca="false">3+2*($C$81*L$82)</f>
        <v>4.34645669291339</v>
      </c>
      <c r="M88" s="81" t="n">
        <f aca="false">3+2*($C$81*M$82)</f>
        <v>4.49606299212598</v>
      </c>
      <c r="N88" s="81" t="n">
        <f aca="false">3+2*($C$81*N$82)</f>
        <v>4.64566929133858</v>
      </c>
      <c r="O88" s="81" t="n">
        <f aca="false">3+2*($C$81*O$82)</f>
        <v>4.79527559055118</v>
      </c>
      <c r="P88" s="81" t="n">
        <f aca="false">3+2*($C$81*P$82)</f>
        <v>4.94488188976378</v>
      </c>
      <c r="Q88" s="81" t="n">
        <f aca="false">3+2*($C$81*Q$82)</f>
        <v>5.09448818897638</v>
      </c>
      <c r="R88" s="81" t="n">
        <f aca="false">3+2*($C$81*R$82)</f>
        <v>5.24409448818898</v>
      </c>
      <c r="S88" s="81" t="n">
        <f aca="false">3+2*($C$81*S$82)</f>
        <v>5.39370078740158</v>
      </c>
      <c r="T88" s="81" t="n">
        <f aca="false">3+2*($C$81*T$82)</f>
        <v>5.54330708661417</v>
      </c>
      <c r="U88" s="81" t="n">
        <f aca="false">3+2*($C$81*U$82)</f>
        <v>5.69291338582677</v>
      </c>
      <c r="V88" s="81" t="n">
        <f aca="false">3+2*($C$81*V$82)</f>
        <v>5.84251968503937</v>
      </c>
      <c r="W88" s="81" t="n">
        <f aca="false">3+2*($C$81*W$82)</f>
        <v>5.99212598425197</v>
      </c>
      <c r="X88" s="81" t="n">
        <f aca="false">3+2*($C$81*X$82)</f>
        <v>6.14173228346457</v>
      </c>
      <c r="Y88" s="81" t="n">
        <f aca="false">3+2*($C$81*Y$82)</f>
        <v>6.29133858267717</v>
      </c>
      <c r="Z88" s="81" t="n">
        <f aca="false">3+2*($C$81*Z$82)</f>
        <v>6.44094488188976</v>
      </c>
      <c r="AA88" s="81" t="n">
        <f aca="false">3+2*($C$81*AA$82)</f>
        <v>6.59055118110236</v>
      </c>
    </row>
    <row r="89" customFormat="false" ht="15" hidden="false" customHeight="false" outlineLevel="0" collapsed="false">
      <c r="A89" s="16" t="n">
        <v>7</v>
      </c>
      <c r="B89" s="46" t="str">
        <f aca="false">'Stitch Library'!B12</f>
        <v>301 Lockstitch</v>
      </c>
      <c r="E89" s="80" t="n">
        <v>2.3</v>
      </c>
      <c r="F89" s="80" t="n">
        <v>2.45</v>
      </c>
      <c r="G89" s="80" t="n">
        <v>2.6</v>
      </c>
      <c r="H89" s="81" t="n">
        <f aca="false">2+2*($C$81*H$82)</f>
        <v>2.74803149606299</v>
      </c>
      <c r="I89" s="81" t="n">
        <f aca="false">2+2*($C$81*I$82)</f>
        <v>2.89763779527559</v>
      </c>
      <c r="J89" s="81" t="n">
        <f aca="false">2+2*($C$81*J$82)</f>
        <v>3.04724409448819</v>
      </c>
      <c r="K89" s="81" t="n">
        <f aca="false">2+2*($C$81*K$82)</f>
        <v>3.19685039370079</v>
      </c>
      <c r="L89" s="81" t="n">
        <f aca="false">2+2*($C$81*L$82)</f>
        <v>3.34645669291339</v>
      </c>
      <c r="M89" s="81" t="n">
        <f aca="false">2+2*($C$81*M$82)</f>
        <v>3.49606299212598</v>
      </c>
      <c r="N89" s="81" t="n">
        <f aca="false">2+2*($C$81*N$82)</f>
        <v>3.64566929133858</v>
      </c>
      <c r="O89" s="81" t="n">
        <f aca="false">2+2*($C$81*O$82)</f>
        <v>3.79527559055118</v>
      </c>
      <c r="P89" s="81" t="n">
        <f aca="false">2+2*($C$81*P$82)</f>
        <v>3.94488188976378</v>
      </c>
      <c r="Q89" s="81" t="n">
        <f aca="false">2+2*($C$81*Q$82)</f>
        <v>4.09448818897638</v>
      </c>
      <c r="R89" s="81" t="n">
        <f aca="false">2+2*($C$81*R$82)</f>
        <v>4.24409448818898</v>
      </c>
      <c r="S89" s="81" t="n">
        <f aca="false">2+2*($C$81*S$82)</f>
        <v>4.39370078740158</v>
      </c>
      <c r="T89" s="81" t="n">
        <f aca="false">2+2*($C$81*T$82)</f>
        <v>4.54330708661417</v>
      </c>
      <c r="U89" s="81" t="n">
        <f aca="false">2+2*($C$81*U$82)</f>
        <v>4.69291338582677</v>
      </c>
      <c r="V89" s="81" t="n">
        <f aca="false">2+2*($C$81*V$82)</f>
        <v>4.84251968503937</v>
      </c>
      <c r="W89" s="81" t="n">
        <f aca="false">2+2*($C$81*W$82)</f>
        <v>4.99212598425197</v>
      </c>
      <c r="X89" s="81" t="n">
        <f aca="false">2+2*($C$81*X$82)</f>
        <v>5.14173228346457</v>
      </c>
      <c r="Y89" s="81" t="n">
        <f aca="false">2+2*($C$81*Y$82)</f>
        <v>5.29133858267717</v>
      </c>
      <c r="Z89" s="81" t="n">
        <f aca="false">2+2*($C$81*Z$82)</f>
        <v>5.44094488188976</v>
      </c>
      <c r="AA89" s="81" t="n">
        <f aca="false">2+2*($C$81*AA$82)</f>
        <v>5.59055118110236</v>
      </c>
    </row>
    <row r="90" customFormat="false" ht="15" hidden="false" customHeight="false" outlineLevel="0" collapsed="false">
      <c r="A90" s="16" t="n">
        <v>8</v>
      </c>
      <c r="B90" s="46" t="str">
        <f aca="false">'Stitch Library'!B13</f>
        <v>304 1/8" ZigZag</v>
      </c>
      <c r="H90" s="81" t="n">
        <f aca="false">2*H$82*(SQRT((0.125*0.125)+($C$81*$C$81))+$C$81)</f>
        <v>2.204757660825</v>
      </c>
      <c r="I90" s="81" t="n">
        <f aca="false">2*I$82*(SQRT((0.125*0.125)+($C$81*$C$81))+$C$81)</f>
        <v>2.64570919299</v>
      </c>
      <c r="J90" s="81" t="n">
        <f aca="false">2*J$82*(SQRT((0.125*0.125)+($C$81*$C$81))+$C$81)</f>
        <v>3.086660725155</v>
      </c>
      <c r="K90" s="81" t="n">
        <f aca="false">2*K$82*(SQRT((0.125*0.125)+($C$81*$C$81))+$C$81)</f>
        <v>3.52761225732001</v>
      </c>
      <c r="L90" s="81" t="n">
        <f aca="false">2*L$82*(SQRT((0.125*0.125)+($C$81*$C$81))+$C$81)</f>
        <v>3.96856378948501</v>
      </c>
      <c r="M90" s="81" t="n">
        <f aca="false">2*M$82*(SQRT((0.125*0.125)+($C$81*$C$81))+$C$81)</f>
        <v>4.40951532165001</v>
      </c>
      <c r="N90" s="81" t="n">
        <f aca="false">2*N$82*(SQRT((0.125*0.125)+($C$81*$C$81))+$C$81)</f>
        <v>4.85046685381501</v>
      </c>
      <c r="O90" s="81" t="n">
        <f aca="false">2*O$82*(SQRT((0.125*0.125)+($C$81*$C$81))+$C$81)</f>
        <v>5.29141838598001</v>
      </c>
      <c r="P90" s="81" t="n">
        <f aca="false">2*P$82*(SQRT((0.125*0.125)+($C$81*$C$81))+$C$81)</f>
        <v>5.73236991814501</v>
      </c>
      <c r="Q90" s="81" t="n">
        <f aca="false">2*Q$82*(SQRT((0.125*0.125)+($C$81*$C$81))+$C$81)</f>
        <v>6.17332145031001</v>
      </c>
      <c r="R90" s="81" t="n">
        <f aca="false">2*R$82*(SQRT((0.125*0.125)+($C$81*$C$81))+$C$81)</f>
        <v>6.61427298247501</v>
      </c>
      <c r="S90" s="81" t="n">
        <f aca="false">2*S$82*(SQRT((0.125*0.125)+($C$81*$C$81))+$C$81)</f>
        <v>7.05522451464001</v>
      </c>
      <c r="T90" s="81" t="n">
        <f aca="false">2*T$82*(SQRT((0.125*0.125)+($C$81*$C$81))+$C$81)</f>
        <v>7.49617604680501</v>
      </c>
      <c r="U90" s="81" t="n">
        <f aca="false">2*U$82*(SQRT((0.125*0.125)+($C$81*$C$81))+$C$81)</f>
        <v>7.93712757897001</v>
      </c>
      <c r="V90" s="81" t="n">
        <f aca="false">2*V$82*(SQRT((0.125*0.125)+($C$81*$C$81))+$C$81)</f>
        <v>8.37807911113501</v>
      </c>
      <c r="W90" s="81" t="n">
        <f aca="false">2*W$82*(SQRT((0.125*0.125)+($C$81*$C$81))+$C$81)</f>
        <v>8.81903064330001</v>
      </c>
      <c r="X90" s="81" t="n">
        <f aca="false">2*X$82*(SQRT((0.125*0.125)+($C$81*$C$81))+$C$81)</f>
        <v>9.25998217546501</v>
      </c>
      <c r="Y90" s="81" t="n">
        <f aca="false">2*Y$82*(SQRT((0.125*0.125)+($C$81*$C$81))+$C$81)</f>
        <v>9.70093370763001</v>
      </c>
      <c r="Z90" s="81" t="n">
        <f aca="false">2*Z$82*(SQRT((0.125*0.125)+($C$81*$C$81))+$C$81)</f>
        <v>10.141885239795</v>
      </c>
      <c r="AA90" s="81" t="n">
        <f aca="false">2*AA$82*(SQRT((0.125*0.125)+($C$81*$C$81))+$C$81)</f>
        <v>10.58283677196</v>
      </c>
    </row>
    <row r="91" customFormat="false" ht="15" hidden="false" customHeight="false" outlineLevel="0" collapsed="false">
      <c r="A91" s="16" t="n">
        <v>9</v>
      </c>
      <c r="B91" s="46" t="str">
        <f aca="false">'Stitch Library'!B14</f>
        <v>304 3/16"m ZigZag</v>
      </c>
      <c r="H91" s="81" t="n">
        <f aca="false">2*H$82*(SQRT((0.188*0.188)+($C$81*$C$81))+$C$81)</f>
        <v>2.77138295320094</v>
      </c>
      <c r="I91" s="81" t="n">
        <f aca="false">2*I$82*(SQRT((0.188*0.188)+($C$81*$C$81))+$C$81)</f>
        <v>3.32565954384112</v>
      </c>
      <c r="J91" s="81" t="n">
        <f aca="false">2*J$82*(SQRT((0.188*0.188)+($C$81*$C$81))+$C$81)</f>
        <v>3.87993613448131</v>
      </c>
      <c r="K91" s="81" t="n">
        <f aca="false">2*K$82*(SQRT((0.188*0.188)+($C$81*$C$81))+$C$81)</f>
        <v>4.4342127251215</v>
      </c>
      <c r="L91" s="81" t="n">
        <f aca="false">2*L$82*(SQRT((0.188*0.188)+($C$81*$C$81))+$C$81)</f>
        <v>4.98848931576168</v>
      </c>
      <c r="M91" s="81" t="n">
        <f aca="false">2*M$82*(SQRT((0.188*0.188)+($C$81*$C$81))+$C$81)</f>
        <v>5.54276590640187</v>
      </c>
      <c r="N91" s="81" t="n">
        <f aca="false">2*N$82*(SQRT((0.188*0.188)+($C$81*$C$81))+$C$81)</f>
        <v>6.09704249704206</v>
      </c>
      <c r="O91" s="81" t="n">
        <f aca="false">2*O$82*(SQRT((0.188*0.188)+($C$81*$C$81))+$C$81)</f>
        <v>6.65131908768225</v>
      </c>
      <c r="P91" s="81" t="n">
        <f aca="false">2*P$82*(SQRT((0.188*0.188)+($C$81*$C$81))+$C$81)</f>
        <v>7.20559567832243</v>
      </c>
      <c r="Q91" s="81" t="n">
        <f aca="false">2*Q$82*(SQRT((0.188*0.188)+($C$81*$C$81))+$C$81)</f>
        <v>7.75987226896262</v>
      </c>
      <c r="R91" s="81" t="n">
        <f aca="false">2*R$82*(SQRT((0.188*0.188)+($C$81*$C$81))+$C$81)</f>
        <v>8.31414885960281</v>
      </c>
      <c r="S91" s="81" t="n">
        <f aca="false">2*S$82*(SQRT((0.188*0.188)+($C$81*$C$81))+$C$81)</f>
        <v>8.86842545024299</v>
      </c>
      <c r="T91" s="81" t="n">
        <f aca="false">2*T$82*(SQRT((0.188*0.188)+($C$81*$C$81))+$C$81)</f>
        <v>9.42270204088318</v>
      </c>
      <c r="U91" s="81" t="n">
        <f aca="false">2*U$82*(SQRT((0.188*0.188)+($C$81*$C$81))+$C$81)</f>
        <v>9.97697863152337</v>
      </c>
      <c r="V91" s="81" t="n">
        <f aca="false">2*V$82*(SQRT((0.188*0.188)+($C$81*$C$81))+$C$81)</f>
        <v>10.5312552221636</v>
      </c>
      <c r="W91" s="81" t="n">
        <f aca="false">2*W$82*(SQRT((0.188*0.188)+($C$81*$C$81))+$C$81)</f>
        <v>11.0855318128037</v>
      </c>
      <c r="X91" s="81" t="n">
        <f aca="false">2*X$82*(SQRT((0.188*0.188)+($C$81*$C$81))+$C$81)</f>
        <v>11.6398084034439</v>
      </c>
      <c r="Y91" s="81" t="n">
        <f aca="false">2*Y$82*(SQRT((0.188*0.188)+($C$81*$C$81))+$C$81)</f>
        <v>12.1940849940841</v>
      </c>
      <c r="Z91" s="81" t="n">
        <f aca="false">2*Z$82*(SQRT((0.188*0.188)+($C$81*$C$81))+$C$81)</f>
        <v>12.7483615847243</v>
      </c>
      <c r="AA91" s="81" t="n">
        <f aca="false">2*AA$82*(SQRT((0.188*0.188)+($C$81*$C$81))+$C$81)</f>
        <v>13.3026381753645</v>
      </c>
    </row>
    <row r="92" customFormat="false" ht="15" hidden="false" customHeight="false" outlineLevel="0" collapsed="false">
      <c r="A92" s="16" t="n">
        <v>10</v>
      </c>
      <c r="B92" s="46" t="str">
        <f aca="false">'Stitch Library'!B15</f>
        <v>304 1/4" ZigZag</v>
      </c>
      <c r="H92" s="81" t="n">
        <f aca="false">2*H$82*(SQRT((0.25*0.25)+($C$81*$C$81))+$C$81)</f>
        <v>3.35754315901877</v>
      </c>
      <c r="I92" s="81" t="n">
        <f aca="false">2*I$82*(SQRT((0.25*0.25)+($C$81*$C$81))+$C$81)</f>
        <v>4.02905179082253</v>
      </c>
      <c r="J92" s="81" t="n">
        <f aca="false">2*J$82*(SQRT((0.25*0.25)+($C$81*$C$81))+$C$81)</f>
        <v>4.70056042262628</v>
      </c>
      <c r="K92" s="81" t="n">
        <f aca="false">2*K$82*(SQRT((0.25*0.25)+($C$81*$C$81))+$C$81)</f>
        <v>5.37206905443004</v>
      </c>
      <c r="L92" s="81" t="n">
        <f aca="false">2*L$82*(SQRT((0.25*0.25)+($C$81*$C$81))+$C$81)</f>
        <v>6.04357768623379</v>
      </c>
      <c r="M92" s="81" t="n">
        <f aca="false">2*M$82*(SQRT((0.25*0.25)+($C$81*$C$81))+$C$81)</f>
        <v>6.71508631803754</v>
      </c>
      <c r="N92" s="81" t="n">
        <f aca="false">2*N$82*(SQRT((0.25*0.25)+($C$81*$C$81))+$C$81)</f>
        <v>7.3865949498413</v>
      </c>
      <c r="O92" s="81" t="n">
        <f aca="false">2*O$82*(SQRT((0.25*0.25)+($C$81*$C$81))+$C$81)</f>
        <v>8.05810358164505</v>
      </c>
      <c r="P92" s="81" t="n">
        <f aca="false">2*P$82*(SQRT((0.25*0.25)+($C$81*$C$81))+$C$81)</f>
        <v>8.72961221344881</v>
      </c>
      <c r="Q92" s="81" t="n">
        <f aca="false">2*Q$82*(SQRT((0.25*0.25)+($C$81*$C$81))+$C$81)</f>
        <v>9.40112084525256</v>
      </c>
      <c r="R92" s="81" t="n">
        <f aca="false">2*R$82*(SQRT((0.25*0.25)+($C$81*$C$81))+$C$81)</f>
        <v>10.0726294770563</v>
      </c>
      <c r="S92" s="81" t="n">
        <f aca="false">2*S$82*(SQRT((0.25*0.25)+($C$81*$C$81))+$C$81)</f>
        <v>10.7441381088601</v>
      </c>
      <c r="T92" s="81" t="n">
        <f aca="false">2*T$82*(SQRT((0.25*0.25)+($C$81*$C$81))+$C$81)</f>
        <v>11.4156467406638</v>
      </c>
      <c r="U92" s="81" t="n">
        <f aca="false">2*U$82*(SQRT((0.25*0.25)+($C$81*$C$81))+$C$81)</f>
        <v>12.0871553724676</v>
      </c>
      <c r="V92" s="81" t="n">
        <f aca="false">2*V$82*(SQRT((0.25*0.25)+($C$81*$C$81))+$C$81)</f>
        <v>12.7586640042713</v>
      </c>
      <c r="W92" s="81" t="n">
        <f aca="false">2*W$82*(SQRT((0.25*0.25)+($C$81*$C$81))+$C$81)</f>
        <v>13.4301726360751</v>
      </c>
      <c r="X92" s="81" t="n">
        <f aca="false">2*X$82*(SQRT((0.25*0.25)+($C$81*$C$81))+$C$81)</f>
        <v>14.1016812678788</v>
      </c>
      <c r="Y92" s="81" t="n">
        <f aca="false">2*Y$82*(SQRT((0.25*0.25)+($C$81*$C$81))+$C$81)</f>
        <v>14.7731898996826</v>
      </c>
      <c r="Z92" s="81" t="n">
        <f aca="false">2*Z$82*(SQRT((0.25*0.25)+($C$81*$C$81))+$C$81)</f>
        <v>15.4446985314864</v>
      </c>
      <c r="AA92" s="81" t="n">
        <f aca="false">2*AA$82*(SQRT((0.25*0.25)+($C$81*$C$81))+$C$81)</f>
        <v>16.1162071632901</v>
      </c>
    </row>
    <row r="93" customFormat="false" ht="15" hidden="false" customHeight="false" outlineLevel="0" collapsed="false">
      <c r="A93" s="16" t="n">
        <v>11</v>
      </c>
      <c r="B93" s="46" t="str">
        <f aca="false">'Stitch Library'!B16</f>
        <v>308 (2) Step Zig Zag</v>
      </c>
      <c r="F93" s="81" t="n">
        <f aca="false">2*F$82*(SQRT((0.188*0.188)+($C$81*$C$81))+(3*$C$81))</f>
        <v>2.56046756719615</v>
      </c>
      <c r="G93" s="81" t="n">
        <f aca="false">2*G$82*(SQRT((0.188*0.188)+($C$81*$C$81))+(3*$C$81))</f>
        <v>3.41395675626154</v>
      </c>
      <c r="H93" s="81" t="n">
        <f aca="false">2*H$82*(SQRT((0.188*0.188)+($C$81*$C$81))+(3*$C$81))</f>
        <v>4.26744594532692</v>
      </c>
      <c r="I93" s="81" t="n">
        <f aca="false">2*I$82*(SQRT((0.188*0.188)+($C$81*$C$81))+(3*$C$81))</f>
        <v>5.1209351343923</v>
      </c>
      <c r="J93" s="81" t="n">
        <f aca="false">2*J$82*(SQRT((0.188*0.188)+($C$81*$C$81))+(3*$C$81))</f>
        <v>5.97442432345769</v>
      </c>
      <c r="K93" s="81" t="n">
        <f aca="false">2*K$82*(SQRT((0.188*0.188)+($C$81*$C$81))+(3*$C$81))</f>
        <v>6.82791351252307</v>
      </c>
      <c r="L93" s="81" t="n">
        <f aca="false">2*L$82*(SQRT((0.188*0.188)+($C$81*$C$81))+(3*$C$81))</f>
        <v>7.68140270158846</v>
      </c>
      <c r="M93" s="81" t="n">
        <f aca="false">2*M$82*(SQRT((0.188*0.188)+($C$81*$C$81))+(3*$C$81))</f>
        <v>8.53489189065384</v>
      </c>
    </row>
    <row r="94" customFormat="false" ht="15" hidden="false" customHeight="false" outlineLevel="0" collapsed="false">
      <c r="A94" s="16" t="n">
        <v>12</v>
      </c>
      <c r="B94" s="46" t="str">
        <f aca="false">'Stitch Library'!B17</f>
        <v>315 (3) Step Zig Zag</v>
      </c>
      <c r="F94" s="81" t="n">
        <f aca="false">2*F$82*(SQRT((0.25*0.25)+($C$81*$C$81))+(4*$C$81))</f>
        <v>3.36098258832465</v>
      </c>
      <c r="G94" s="81" t="n">
        <f aca="false">2*G$82*(SQRT((0.25*0.25)+($C$81*$C$81))+(4*$C$81))</f>
        <v>4.4813101177662</v>
      </c>
      <c r="H94" s="81" t="n">
        <f aca="false">2*H$82*(SQRT((0.25*0.25)+($C$81*$C$81))+(4*$C$81))</f>
        <v>5.60163764720775</v>
      </c>
      <c r="I94" s="81" t="n">
        <f aca="false">2*I$82*(SQRT((0.25*0.25)+($C$81*$C$81))+(4*$C$81))</f>
        <v>6.7219651766493</v>
      </c>
      <c r="J94" s="81" t="n">
        <f aca="false">2*J$82*(SQRT((0.25*0.25)+($C$81*$C$81))+(4*$C$81))</f>
        <v>7.84229270609085</v>
      </c>
      <c r="K94" s="81" t="n">
        <f aca="false">2*K$82*(SQRT((0.25*0.25)+($C$81*$C$81))+(4*$C$81))</f>
        <v>8.9626202355324</v>
      </c>
      <c r="L94" s="81" t="n">
        <f aca="false">2*L$82*(SQRT((0.25*0.25)+($C$81*$C$81))+(4*$C$81))</f>
        <v>10.0829477649739</v>
      </c>
      <c r="M94" s="81" t="n">
        <f aca="false">2*M$82*(SQRT((0.25*0.25)+($C$81*$C$81))+(4*$C$81))</f>
        <v>11.2032752944155</v>
      </c>
    </row>
    <row r="95" customFormat="false" ht="15" hidden="false" customHeight="false" outlineLevel="0" collapsed="false">
      <c r="A95" s="16" t="n">
        <v>13</v>
      </c>
      <c r="B95" s="46" t="str">
        <f aca="false">'Stitch Library'!B18</f>
        <v>322 (4) Step Zig Zag</v>
      </c>
      <c r="F95" s="81" t="n">
        <f aca="false">2*F$82*(SQRT((0.25*0.25)+($C$81*$C$81))+(5*$C$81))</f>
        <v>3.80980148596244</v>
      </c>
      <c r="G95" s="81" t="n">
        <f aca="false">2*G$82*(SQRT((0.25*0.25)+($C$81*$C$81))+(5*$C$81))</f>
        <v>5.07973531461659</v>
      </c>
      <c r="H95" s="81" t="n">
        <f aca="false">2*H$82*(SQRT((0.25*0.25)+($C$81*$C$81))+(5*$C$81))</f>
        <v>6.34966914327074</v>
      </c>
      <c r="I95" s="81" t="n">
        <f aca="false">2*I$82*(SQRT((0.25*0.25)+($C$81*$C$81))+(5*$C$81))</f>
        <v>7.61960297192489</v>
      </c>
      <c r="J95" s="81" t="n">
        <f aca="false">2*J$82*(SQRT((0.25*0.25)+($C$81*$C$81))+(5*$C$81))</f>
        <v>8.88953680057904</v>
      </c>
      <c r="K95" s="81" t="n">
        <f aca="false">2*K$82*(SQRT((0.25*0.25)+($C$81*$C$81))+(5*$C$81))</f>
        <v>10.1594706292332</v>
      </c>
      <c r="L95" s="81" t="n">
        <f aca="false">2*L$82*(SQRT((0.25*0.25)+($C$81*$C$81))+(5*$C$81))</f>
        <v>11.4294044578873</v>
      </c>
      <c r="M95" s="81" t="n">
        <f aca="false">2*M$82*(SQRT((0.25*0.25)+($C$81*$C$81))+(5*$C$81))</f>
        <v>12.6993382865415</v>
      </c>
    </row>
    <row r="96" customFormat="false" ht="15" hidden="false" customHeight="false" outlineLevel="0" collapsed="false">
      <c r="A96" s="16" t="n">
        <v>14</v>
      </c>
      <c r="B96" s="46" t="str">
        <f aca="false">'Stitch Library'!B19</f>
        <v>401 Chainstitch</v>
      </c>
      <c r="H96" s="81" t="n">
        <f aca="false">IF(Setup!$C$27="Original",4*2*($C$81*H$82),4+2*($C$81*H$82))</f>
        <v>4.74803149606299</v>
      </c>
      <c r="I96" s="81" t="n">
        <f aca="false">IF(Setup!$C$27="Original",4*2*($C$81*I$82),4+2*($C$81*I$82))</f>
        <v>4.89763779527559</v>
      </c>
      <c r="J96" s="81" t="n">
        <f aca="false">IF(Setup!$C$27="Original",4*2*($C$81*J$82),4+2*($C$81*J$82))</f>
        <v>5.04724409448819</v>
      </c>
      <c r="K96" s="81" t="n">
        <f aca="false">IF(Setup!$C$27="Original",4*2*($C$81*K$82),4+2*($C$81*K$82))</f>
        <v>5.19685039370079</v>
      </c>
      <c r="L96" s="81" t="n">
        <f aca="false">IF(Setup!$C$27="Original",4*2*($C$81*L$82),4+2*($C$81*L$82))</f>
        <v>5.34645669291339</v>
      </c>
      <c r="M96" s="81" t="n">
        <f aca="false">IF(Setup!$C$27="Original",4*2*($C$81*M$82),4+2*($C$81*M$82))</f>
        <v>5.49606299212598</v>
      </c>
      <c r="N96" s="81" t="n">
        <f aca="false">IF(Setup!$C$27="Original",4*2*($C$81*N$82),4+2*($C$81*N$82))</f>
        <v>5.64566929133858</v>
      </c>
      <c r="O96" s="81" t="n">
        <f aca="false">IF(Setup!$C$27="Original",4*2*($C$81*O$82),4+2*($C$81*O$82))</f>
        <v>5.79527559055118</v>
      </c>
      <c r="P96" s="81" t="n">
        <f aca="false">IF(Setup!$C$27="Original",4*2*($C$81*P$82),4+2*($C$81*P$82))</f>
        <v>5.94488188976378</v>
      </c>
      <c r="Q96" s="81" t="n">
        <f aca="false">IF(Setup!$C$27="Original",4*2*($C$81*Q$82),4+2*($C$81*Q$82))</f>
        <v>6.09448818897638</v>
      </c>
      <c r="R96" s="81" t="n">
        <f aca="false">IF(Setup!$C$27="Original",4*2*($C$81*R$82),4+2*($C$81*R$82))</f>
        <v>6.24409448818898</v>
      </c>
      <c r="S96" s="81" t="n">
        <f aca="false">IF(Setup!$C$27="Original",4*2*($C$81*S$82),4+2*($C$81*S$82))</f>
        <v>6.39370078740158</v>
      </c>
      <c r="T96" s="81" t="n">
        <f aca="false">IF(Setup!$C$27="Original",4*2*($C$81*T$82),4+2*($C$81*T$82))</f>
        <v>6.54330708661417</v>
      </c>
      <c r="U96" s="81" t="n">
        <f aca="false">IF(Setup!$C$27="Original",4*2*($C$81*U$82),4+2*($C$81*U$82))</f>
        <v>6.69291338582677</v>
      </c>
      <c r="V96" s="81" t="n">
        <f aca="false">IF(Setup!$C$27="Original",4*2*($C$81*V$82),4+2*($C$81*V$82))</f>
        <v>6.84251968503937</v>
      </c>
      <c r="W96" s="81" t="n">
        <f aca="false">IF(Setup!$C$27="Original",4*2*($C$81*W$82),4+2*($C$81*W$82))</f>
        <v>6.99212598425197</v>
      </c>
      <c r="X96" s="81" t="n">
        <f aca="false">IF(Setup!$C$27="Original",4*2*($C$81*X$82),4+2*($C$81*X$82))</f>
        <v>7.14173228346457</v>
      </c>
      <c r="Y96" s="81" t="n">
        <f aca="false">IF(Setup!$C$27="Original",4*2*($C$81*Y$82),4+2*($C$81*Y$82))</f>
        <v>7.29133858267717</v>
      </c>
      <c r="Z96" s="81" t="n">
        <f aca="false">IF(Setup!$C$27="Original",4*2*($C$81*Z$82),4+2*($C$81*Z$82))</f>
        <v>7.44094488188976</v>
      </c>
      <c r="AA96" s="81" t="n">
        <f aca="false">IF(Setup!$C$27="Original",4*2*($C$81*AA$82),4+2*($C$81*AA$82))</f>
        <v>7.59055118110236</v>
      </c>
    </row>
    <row r="97" customFormat="false" ht="15" hidden="false" customHeight="false" outlineLevel="0" collapsed="false">
      <c r="A97" s="16" t="n">
        <v>15</v>
      </c>
      <c r="B97" s="46" t="str">
        <f aca="false">'Stitch Library'!B20</f>
        <v>404 ZigZag Chain</v>
      </c>
      <c r="H97" s="81" t="n">
        <f aca="false">2*H$82*(2*(SQRT((0.125*0.125)+((1/H$82)*(1/H$82)))+$C$81))</f>
        <v>6.21305355815429</v>
      </c>
      <c r="I97" s="81" t="n">
        <f aca="false">2*I$82*(2*(SQRT((0.125*0.125)+((1/I$82)*(1/I$82)))+$C$81))</f>
        <v>6.79527559055118</v>
      </c>
      <c r="J97" s="81" t="n">
        <f aca="false">2*J$82*(2*(SQRT((0.125*0.125)+((1/J$82)*(1/J$82)))+$C$81))</f>
        <v>7.4095610953437</v>
      </c>
      <c r="K97" s="81" t="n">
        <f aca="false">2*K$82*(2*(SQRT((0.125*0.125)+((1/K$82)*(1/K$82)))+$C$81))</f>
        <v>8.05055503689396</v>
      </c>
      <c r="L97" s="81" t="n">
        <f aca="false">2*L$82*(2*(SQRT((0.125*0.125)+((1/L$82)*(1/L$82)))+$C$81))</f>
        <v>8.71371067522292</v>
      </c>
      <c r="M97" s="81" t="n">
        <f aca="false">2*M$82*(2*(SQRT((0.125*0.125)+((1/M$82)*(1/M$82)))+$C$81))</f>
        <v>9.39525022168482</v>
      </c>
      <c r="N97" s="81" t="n">
        <f aca="false">2*N$82*(2*(SQRT((0.125*0.125)+((1/N$82)*(1/N$82)))+$C$81))</f>
        <v>10.0920738370449</v>
      </c>
      <c r="O97" s="81" t="n">
        <f aca="false">2*O$82*(2*(SQRT((0.125*0.125)+((1/O$82)*(1/O$82)))+$C$81))</f>
        <v>10.8016537320303</v>
      </c>
      <c r="P97" s="81" t="n">
        <f aca="false">2*P$82*(2*(SQRT((0.125*0.125)+((1/P$82)*(1/P$82)))+$C$81))</f>
        <v>11.5219325407644</v>
      </c>
      <c r="Q97" s="81" t="n">
        <f aca="false">2*Q$82*(2*(SQRT((0.125*0.125)+((1/Q$82)*(1/Q$82)))+$C$81))</f>
        <v>12.2512341262513</v>
      </c>
      <c r="R97" s="81" t="n">
        <f aca="false">2*R$82*(2*(SQRT((0.125*0.125)+((1/R$82)*(1/R$82)))+$C$81))</f>
        <v>12.988188976378</v>
      </c>
      <c r="S97" s="81" t="n">
        <f aca="false">2*S$82*(2*(SQRT((0.125*0.125)+((1/S$82)*(1/S$82)))+$C$81))</f>
        <v>13.7316734848023</v>
      </c>
      <c r="T97" s="81" t="n">
        <f aca="false">2*T$82*(2*(SQRT((0.125*0.125)+((1/T$82)*(1/T$82)))+$C$81))</f>
        <v>14.4807612872563</v>
      </c>
      <c r="U97" s="81" t="n">
        <f aca="false">2*U$82*(2*(SQRT((0.125*0.125)+((1/U$82)*(1/U$82)))+$C$81))</f>
        <v>15.2346845734496</v>
      </c>
      <c r="V97" s="81" t="n">
        <f aca="false">2*V$82*(2*(SQRT((0.125*0.125)+((1/V$82)*(1/V$82)))+$C$81))</f>
        <v>15.9928034341229</v>
      </c>
      <c r="W97" s="81" t="n">
        <f aca="false">2*W$82*(2*(SQRT((0.125*0.125)+((1/W$82)*(1/W$82)))+$C$81))</f>
        <v>16.7545815827729</v>
      </c>
      <c r="X97" s="81" t="n">
        <f aca="false">2*X$82*(2*(SQRT((0.125*0.125)+((1/X$82)*(1/X$82)))+$C$81))</f>
        <v>17.5195670940512</v>
      </c>
      <c r="Y97" s="81" t="n">
        <f aca="false">2*Y$82*(2*(SQRT((0.125*0.125)+((1/Y$82)*(1/Y$82)))+$C$81))</f>
        <v>18.287377076074</v>
      </c>
      <c r="Z97" s="81" t="n">
        <f aca="false">2*Z$82*(2*(SQRT((0.125*0.125)+((1/Z$82)*(1/Z$82)))+$C$81))</f>
        <v>19.0576854256654</v>
      </c>
      <c r="AA97" s="81" t="n">
        <f aca="false">2*AA$82*(2*(SQRT((0.125*0.125)+((1/AA$82)*(1/AA$82)))+$C$81))</f>
        <v>19.8302130028782</v>
      </c>
    </row>
    <row r="98" customFormat="false" ht="15" hidden="false" customHeight="false" outlineLevel="0" collapsed="false">
      <c r="A98" s="16" t="n">
        <v>16</v>
      </c>
      <c r="B98" s="46" t="str">
        <f aca="false">'Stitch Library'!B21</f>
        <v>406 1/8"m Btm Cover</v>
      </c>
      <c r="H98" s="81" t="n">
        <f aca="false">7+(2*H$82*(2*$C$81+0.125))</f>
        <v>9.74606299212599</v>
      </c>
      <c r="I98" s="81" t="n">
        <f aca="false">7+(2*I$82*(2*$C$81+0.125))</f>
        <v>10.2952755905512</v>
      </c>
      <c r="J98" s="81" t="n">
        <f aca="false">7+(2*J$82*(2*$C$81+0.125))</f>
        <v>10.8444881889764</v>
      </c>
      <c r="K98" s="81" t="n">
        <f aca="false">7+(2*K$82*(2*$C$81+0.125))</f>
        <v>11.3937007874016</v>
      </c>
      <c r="L98" s="81" t="n">
        <f aca="false">7+(2*L$82*(2*$C$81+0.125))</f>
        <v>11.9429133858268</v>
      </c>
      <c r="M98" s="81" t="n">
        <f aca="false">7+(2*M$82*(2*$C$81+0.125))</f>
        <v>12.492125984252</v>
      </c>
      <c r="N98" s="81" t="n">
        <f aca="false">7+(2*N$82*(2*$C$81+0.125))</f>
        <v>13.0413385826772</v>
      </c>
      <c r="O98" s="81" t="n">
        <f aca="false">7+(2*O$82*(2*$C$81+0.125))</f>
        <v>13.5905511811024</v>
      </c>
      <c r="P98" s="81" t="n">
        <f aca="false">7+(2*P$82*(2*$C$81+0.125))</f>
        <v>14.1397637795276</v>
      </c>
      <c r="Q98" s="81" t="n">
        <f aca="false">7+(2*Q$82*(2*$C$81+0.125))</f>
        <v>14.6889763779528</v>
      </c>
      <c r="R98" s="81" t="n">
        <f aca="false">7+(2*R$82*(2*$C$81+0.125))</f>
        <v>15.238188976378</v>
      </c>
      <c r="S98" s="81" t="n">
        <f aca="false">7+(2*S$82*(2*$C$81+0.125))</f>
        <v>15.7874015748032</v>
      </c>
      <c r="T98" s="81" t="n">
        <f aca="false">7+(2*T$82*(2*$C$81+0.125))</f>
        <v>16.3366141732283</v>
      </c>
      <c r="U98" s="81" t="n">
        <f aca="false">7+(2*U$82*(2*$C$81+0.125))</f>
        <v>16.8858267716535</v>
      </c>
      <c r="V98" s="81" t="n">
        <f aca="false">7+(2*V$82*(2*$C$81+0.125))</f>
        <v>17.4350393700787</v>
      </c>
      <c r="W98" s="81" t="n">
        <f aca="false">7+(2*W$82*(2*$C$81+0.125))</f>
        <v>17.9842519685039</v>
      </c>
      <c r="X98" s="81" t="n">
        <f aca="false">7+(2*X$82*(2*$C$81+0.125))</f>
        <v>18.5334645669291</v>
      </c>
      <c r="Y98" s="81" t="n">
        <f aca="false">7+(2*Y$82*(2*$C$81+0.125))</f>
        <v>19.0826771653543</v>
      </c>
      <c r="Z98" s="81" t="n">
        <f aca="false">7+(2*Z$82*(2*$C$81+0.125))</f>
        <v>19.6318897637795</v>
      </c>
      <c r="AA98" s="81" t="n">
        <f aca="false">7+(2*AA$82*(2*$C$81+0.125))</f>
        <v>20.1811023622047</v>
      </c>
    </row>
    <row r="99" customFormat="false" ht="15" hidden="false" customHeight="false" outlineLevel="0" collapsed="false">
      <c r="A99" s="16" t="n">
        <v>17</v>
      </c>
      <c r="B99" s="46" t="str">
        <f aca="false">'Stitch Library'!B22</f>
        <v>406 3/16" Btm Cover</v>
      </c>
      <c r="H99" s="81" t="n">
        <f aca="false">7+(2*H$82*(2*$C$81+0.188))</f>
        <v>10.376062992126</v>
      </c>
      <c r="I99" s="81" t="n">
        <f aca="false">7+(2*I$82*(2*$C$81+0.188))</f>
        <v>11.0512755905512</v>
      </c>
      <c r="J99" s="81" t="n">
        <f aca="false">7+(2*J$82*(2*$C$81+0.188))</f>
        <v>11.7264881889764</v>
      </c>
      <c r="K99" s="81" t="n">
        <f aca="false">7+(2*K$82*(2*$C$81+0.188))</f>
        <v>12.4017007874016</v>
      </c>
      <c r="L99" s="81" t="n">
        <f aca="false">7+(2*L$82*(2*$C$81+0.188))</f>
        <v>13.0769133858268</v>
      </c>
      <c r="M99" s="81" t="n">
        <f aca="false">7+(2*M$82*(2*$C$81+0.188))</f>
        <v>13.752125984252</v>
      </c>
      <c r="N99" s="81" t="n">
        <f aca="false">7+(2*N$82*(2*$C$81+0.188))</f>
        <v>14.4273385826772</v>
      </c>
      <c r="O99" s="81" t="n">
        <f aca="false">7+(2*O$82*(2*$C$81+0.188))</f>
        <v>15.1025511811024</v>
      </c>
      <c r="P99" s="81" t="n">
        <f aca="false">7+(2*P$82*(2*$C$81+0.188))</f>
        <v>15.7777637795276</v>
      </c>
      <c r="Q99" s="81" t="n">
        <f aca="false">7+(2*Q$82*(2*$C$81+0.188))</f>
        <v>16.4529763779528</v>
      </c>
      <c r="R99" s="81" t="n">
        <f aca="false">7+(2*R$82*(2*$C$81+0.188))</f>
        <v>17.128188976378</v>
      </c>
      <c r="S99" s="81" t="n">
        <f aca="false">7+(2*S$82*(2*$C$81+0.188))</f>
        <v>17.8034015748032</v>
      </c>
      <c r="T99" s="81" t="n">
        <f aca="false">7+(2*T$82*(2*$C$81+0.188))</f>
        <v>18.4786141732283</v>
      </c>
      <c r="U99" s="81" t="n">
        <f aca="false">7+(2*U$82*(2*$C$81+0.188))</f>
        <v>19.1538267716535</v>
      </c>
      <c r="V99" s="81" t="n">
        <f aca="false">7+(2*V$82*(2*$C$81+0.188))</f>
        <v>19.8290393700787</v>
      </c>
      <c r="W99" s="81" t="n">
        <f aca="false">7+(2*W$82*(2*$C$81+0.188))</f>
        <v>20.5042519685039</v>
      </c>
      <c r="X99" s="81" t="n">
        <f aca="false">7+(2*X$82*(2*$C$81+0.188))</f>
        <v>21.1794645669291</v>
      </c>
      <c r="Y99" s="81" t="n">
        <f aca="false">7+(2*Y$82*(2*$C$81+0.188))</f>
        <v>21.8546771653543</v>
      </c>
      <c r="Z99" s="81" t="n">
        <f aca="false">7+(2*Z$82*(2*$C$81+0.188))</f>
        <v>22.5298897637795</v>
      </c>
      <c r="AA99" s="81" t="n">
        <f aca="false">7+(2*AA$82*(2*$C$81+0.188))</f>
        <v>23.2051023622047</v>
      </c>
    </row>
    <row r="100" customFormat="false" ht="15" hidden="false" customHeight="false" outlineLevel="0" collapsed="false">
      <c r="A100" s="16" t="n">
        <v>18</v>
      </c>
      <c r="B100" s="46" t="str">
        <f aca="false">'Stitch Library'!B23</f>
        <v>406 1/4" Btm Cover</v>
      </c>
      <c r="H100" s="81" t="n">
        <f aca="false">7+(2*H$82*(2*$C$81+0.25))</f>
        <v>10.996062992126</v>
      </c>
      <c r="I100" s="81" t="n">
        <f aca="false">7+(2*I$82*(2*$C$81+0.25))</f>
        <v>11.7952755905512</v>
      </c>
      <c r="J100" s="81" t="n">
        <f aca="false">7+(2*J$82*(2*$C$81+0.25))</f>
        <v>12.5944881889764</v>
      </c>
      <c r="K100" s="81" t="n">
        <f aca="false">7+(2*K$82*(2*$C$81+0.25))</f>
        <v>13.3937007874016</v>
      </c>
      <c r="L100" s="81" t="n">
        <f aca="false">7+(2*L$82*(2*$C$81+0.25))</f>
        <v>14.1929133858268</v>
      </c>
      <c r="M100" s="81" t="n">
        <f aca="false">7+(2*M$82*(2*$C$81+0.25))</f>
        <v>14.992125984252</v>
      </c>
      <c r="N100" s="81" t="n">
        <f aca="false">7+(2*N$82*(2*$C$81+0.25))</f>
        <v>15.7913385826772</v>
      </c>
      <c r="O100" s="81" t="n">
        <f aca="false">7+(2*O$82*(2*$C$81+0.25))</f>
        <v>16.5905511811024</v>
      </c>
      <c r="P100" s="81" t="n">
        <f aca="false">7+(2*P$82*(2*$C$81+0.25))</f>
        <v>17.3897637795276</v>
      </c>
      <c r="Q100" s="81" t="n">
        <f aca="false">7+(2*Q$82*(2*$C$81+0.25))</f>
        <v>18.1889763779528</v>
      </c>
      <c r="R100" s="81" t="n">
        <f aca="false">7+(2*R$82*(2*$C$81+0.25))</f>
        <v>18.988188976378</v>
      </c>
      <c r="S100" s="81" t="n">
        <f aca="false">7+(2*S$82*(2*$C$81+0.25))</f>
        <v>19.7874015748031</v>
      </c>
      <c r="T100" s="81" t="n">
        <f aca="false">7+(2*T$82*(2*$C$81+0.25))</f>
        <v>20.5866141732283</v>
      </c>
      <c r="U100" s="81" t="n">
        <f aca="false">7+(2*U$82*(2*$C$81+0.25))</f>
        <v>21.3858267716535</v>
      </c>
      <c r="V100" s="81" t="n">
        <f aca="false">7+(2*V$82*(2*$C$81+0.25))</f>
        <v>22.1850393700787</v>
      </c>
      <c r="W100" s="81" t="n">
        <f aca="false">7+(2*W$82*(2*$C$81+0.25))</f>
        <v>22.9842519685039</v>
      </c>
      <c r="X100" s="81" t="n">
        <f aca="false">7+(2*X$82*(2*$C$81+0.25))</f>
        <v>23.7834645669291</v>
      </c>
      <c r="Y100" s="81" t="n">
        <f aca="false">7+(2*Y$82*(2*$C$81+0.25))</f>
        <v>24.5826771653543</v>
      </c>
      <c r="Z100" s="81" t="n">
        <f aca="false">7+(2*Z$82*(2*$C$81+0.25))</f>
        <v>25.3818897637795</v>
      </c>
      <c r="AA100" s="81" t="n">
        <f aca="false">7+(2*AA$82*(2*$C$81+0.25))</f>
        <v>26.1811023622047</v>
      </c>
    </row>
    <row r="101" customFormat="false" ht="15" hidden="false" customHeight="false" outlineLevel="0" collapsed="false">
      <c r="A101" s="16" t="n">
        <v>19</v>
      </c>
      <c r="B101" s="46" t="str">
        <f aca="false">'Stitch Library'!B24</f>
        <v>407 3Ndl Btm Cover</v>
      </c>
      <c r="H101" s="81" t="n">
        <f aca="false">9+2*H$82*(3*$C$81+0.25)</f>
        <v>13.744094488189</v>
      </c>
      <c r="I101" s="81" t="n">
        <f aca="false">9+2*I$82*(3*$C$81+0.25)</f>
        <v>14.6929133858268</v>
      </c>
      <c r="J101" s="81" t="n">
        <f aca="false">9+2*J$82*(3*$C$81+0.25)</f>
        <v>15.6417322834646</v>
      </c>
      <c r="K101" s="81" t="n">
        <f aca="false">9+2*K$82*(3*$C$81+0.25)</f>
        <v>16.5905511811024</v>
      </c>
      <c r="L101" s="81" t="n">
        <f aca="false">9+2*L$82*(3*$C$81+0.25)</f>
        <v>17.5393700787402</v>
      </c>
      <c r="M101" s="81" t="n">
        <f aca="false">9+2*M$82*(3*$C$81+0.25)</f>
        <v>18.488188976378</v>
      </c>
      <c r="N101" s="81" t="n">
        <f aca="false">9+2*N$82*(3*$C$81+0.25)</f>
        <v>19.4370078740157</v>
      </c>
      <c r="O101" s="81" t="n">
        <f aca="false">9+2*O$82*(3*$C$81+0.25)</f>
        <v>20.3858267716535</v>
      </c>
      <c r="P101" s="81" t="n">
        <f aca="false">9+2*P$82*(3*$C$81+0.25)</f>
        <v>21.3346456692913</v>
      </c>
      <c r="Q101" s="81" t="n">
        <f aca="false">9+2*Q$82*(3*$C$81+0.25)</f>
        <v>22.2834645669291</v>
      </c>
      <c r="R101" s="81" t="n">
        <f aca="false">9+2*R$82*(3*$C$81+0.25)</f>
        <v>23.2322834645669</v>
      </c>
      <c r="S101" s="81" t="n">
        <f aca="false">9+2*S$82*(3*$C$81+0.25)</f>
        <v>24.1811023622047</v>
      </c>
      <c r="T101" s="81" t="n">
        <f aca="false">9+2*T$82*(3*$C$81+0.25)</f>
        <v>25.1299212598425</v>
      </c>
      <c r="U101" s="81" t="n">
        <f aca="false">9+2*U$82*(3*$C$81+0.25)</f>
        <v>26.0787401574803</v>
      </c>
      <c r="V101" s="81" t="n">
        <f aca="false">9+2*V$82*(3*$C$81+0.25)</f>
        <v>27.0275590551181</v>
      </c>
      <c r="W101" s="81" t="n">
        <f aca="false">9+2*W$82*(3*$C$81+0.25)</f>
        <v>27.9763779527559</v>
      </c>
      <c r="X101" s="81" t="n">
        <f aca="false">9+2*X$82*(3*$C$81+0.25)</f>
        <v>28.9251968503937</v>
      </c>
      <c r="Y101" s="81" t="n">
        <f aca="false">9+2*Y$82*(3*$C$81+0.25)</f>
        <v>29.8740157480315</v>
      </c>
      <c r="Z101" s="81" t="n">
        <f aca="false">9+2*Z$82*(3*$C$81+0.25)</f>
        <v>30.8228346456693</v>
      </c>
      <c r="AA101" s="81" t="n">
        <f aca="false">9+2*AA$82*(3*$C$81+0.25)</f>
        <v>31.7716535433071</v>
      </c>
    </row>
    <row r="102" customFormat="false" ht="15" hidden="false" customHeight="false" outlineLevel="0" collapsed="false">
      <c r="A102" s="16" t="n">
        <v>20</v>
      </c>
      <c r="B102" s="46" t="str">
        <f aca="false">'Stitch Library'!B25</f>
        <v>408 Pkt Facings</v>
      </c>
      <c r="H102" s="80" t="n">
        <v>15.35</v>
      </c>
      <c r="I102" s="80" t="n">
        <v>16.82</v>
      </c>
      <c r="J102" s="80" t="n">
        <v>18.29</v>
      </c>
      <c r="K102" s="80" t="n">
        <v>19.76</v>
      </c>
      <c r="L102" s="80" t="n">
        <v>21.23</v>
      </c>
      <c r="M102" s="80" t="n">
        <v>22.7</v>
      </c>
      <c r="N102" s="80" t="n">
        <v>24.17</v>
      </c>
      <c r="O102" s="80" t="n">
        <v>25.64</v>
      </c>
      <c r="P102" s="80" t="n">
        <v>27.11</v>
      </c>
      <c r="Q102" s="80" t="n">
        <v>28.58</v>
      </c>
      <c r="R102" s="80" t="n">
        <v>30.05</v>
      </c>
      <c r="S102" s="80" t="n">
        <v>31.52</v>
      </c>
      <c r="T102" s="80" t="n">
        <v>32.99</v>
      </c>
      <c r="U102" s="80" t="n">
        <v>34.46</v>
      </c>
      <c r="V102" s="80" t="n">
        <v>35.93</v>
      </c>
      <c r="W102" s="80" t="n">
        <v>37.4</v>
      </c>
      <c r="X102" s="80" t="n">
        <v>38.87</v>
      </c>
      <c r="Y102" s="80" t="n">
        <v>40.34</v>
      </c>
      <c r="Z102" s="80" t="n">
        <v>41.81</v>
      </c>
      <c r="AA102" s="80" t="n">
        <v>43.28</v>
      </c>
    </row>
    <row r="103" customFormat="false" ht="15" hidden="false" customHeight="false" outlineLevel="0" collapsed="false">
      <c r="A103" s="16" t="n">
        <v>21</v>
      </c>
      <c r="B103" s="46" t="str">
        <f aca="false">'Stitch Library'!B26</f>
        <v>411 Picoetta Stitch</v>
      </c>
      <c r="E103" s="81" t="n">
        <f aca="false">8*(4*(2*($C$81*E$82)))</f>
        <v>9.5748031496063</v>
      </c>
      <c r="F103" s="81" t="n">
        <f aca="false">8*(4*(2*($C$81*F$82)))</f>
        <v>14.3622047244095</v>
      </c>
      <c r="G103" s="81" t="n">
        <f aca="false">8*(4*(2*($C$81*G$82)))</f>
        <v>19.1496062992126</v>
      </c>
      <c r="H103" s="81" t="n">
        <f aca="false">8*(4*(2*($C$81*H$82)))</f>
        <v>23.9370078740157</v>
      </c>
    </row>
    <row r="104" customFormat="false" ht="15" hidden="false" customHeight="false" outlineLevel="0" collapsed="false">
      <c r="A104" s="16" t="n">
        <v>22</v>
      </c>
      <c r="B104" s="46" t="str">
        <f aca="false">'Stitch Library'!B27</f>
        <v>503 1/8" 2Thd Serge</v>
      </c>
      <c r="H104" s="81" t="n">
        <f aca="false">4*(H$82*(0.125+$C$81))+2</f>
        <v>5.99606299212598</v>
      </c>
      <c r="I104" s="81" t="n">
        <f aca="false">4*(I$82*(0.125+$C$81))+2</f>
        <v>6.79527559055118</v>
      </c>
      <c r="J104" s="81" t="n">
        <f aca="false">4*(J$82*(0.125+$C$81))+2</f>
        <v>7.59448818897638</v>
      </c>
      <c r="K104" s="81" t="n">
        <f aca="false">4*(K$82*(0.125+$C$81))+2</f>
        <v>8.39370078740157</v>
      </c>
      <c r="L104" s="81" t="n">
        <f aca="false">4*(L$82*(0.125+$C$81))+2</f>
        <v>9.19291338582677</v>
      </c>
      <c r="M104" s="81" t="n">
        <f aca="false">4*(M$82*(0.125+$C$81))+2</f>
        <v>9.99212598425197</v>
      </c>
      <c r="N104" s="81" t="n">
        <f aca="false">4*(N$82*(0.125+$C$81))+2</f>
        <v>10.7913385826772</v>
      </c>
      <c r="O104" s="81" t="n">
        <f aca="false">4*(O$82*(0.125+$C$81))+2</f>
        <v>11.5905511811024</v>
      </c>
      <c r="P104" s="81" t="n">
        <f aca="false">4*(P$82*(0.125+$C$81))+2</f>
        <v>12.3897637795276</v>
      </c>
      <c r="Q104" s="81" t="n">
        <f aca="false">4*(Q$82*(0.125+$C$81))+2</f>
        <v>13.1889763779528</v>
      </c>
      <c r="R104" s="81" t="n">
        <f aca="false">4*(R$82*(0.125+$C$81))+2</f>
        <v>13.988188976378</v>
      </c>
      <c r="S104" s="81" t="n">
        <f aca="false">4*(S$82*(0.125+$C$81))+2</f>
        <v>14.7874015748032</v>
      </c>
      <c r="T104" s="81" t="n">
        <f aca="false">4*(T$82*(0.125+$C$81))+2</f>
        <v>15.5866141732283</v>
      </c>
      <c r="U104" s="81" t="n">
        <f aca="false">4*(U$82*(0.125+$C$81))+2</f>
        <v>16.3858267716535</v>
      </c>
      <c r="V104" s="81" t="n">
        <f aca="false">4*(V$82*(0.125+$C$81))+2</f>
        <v>17.1850393700787</v>
      </c>
      <c r="W104" s="81" t="n">
        <f aca="false">4*(W$82*(0.125+$C$81))+2</f>
        <v>17.9842519685039</v>
      </c>
      <c r="X104" s="81" t="n">
        <f aca="false">4*(X$82*(0.125+$C$81))+2</f>
        <v>18.7834645669291</v>
      </c>
      <c r="Y104" s="81" t="n">
        <f aca="false">4*(Y$82*(0.125+$C$81))+2</f>
        <v>19.5826771653543</v>
      </c>
      <c r="Z104" s="81" t="n">
        <f aca="false">4*(Z$82*(0.125+$C$81))+2</f>
        <v>20.3818897637795</v>
      </c>
      <c r="AA104" s="81" t="n">
        <f aca="false">4*(AA$82*(0.125+$C$81))+2</f>
        <v>21.1811023622047</v>
      </c>
    </row>
    <row r="105" customFormat="false" ht="15" hidden="false" customHeight="false" outlineLevel="0" collapsed="false">
      <c r="A105" s="16" t="n">
        <v>23</v>
      </c>
      <c r="B105" s="46" t="str">
        <f aca="false">'Stitch Library'!B28</f>
        <v>503 3/16" 2 Thd Serge</v>
      </c>
      <c r="H105" s="81" t="n">
        <f aca="false">4*(H$82*(0.188+$C$81))+2</f>
        <v>7.25606299212599</v>
      </c>
      <c r="I105" s="81" t="n">
        <f aca="false">4*(I$82*(0.188+$C$81))+2</f>
        <v>8.30727559055118</v>
      </c>
      <c r="J105" s="81" t="n">
        <f aca="false">4*(J$82*(0.188+$C$81))+2</f>
        <v>9.35848818897638</v>
      </c>
      <c r="K105" s="81" t="n">
        <f aca="false">4*(K$82*(0.188+$C$81))+2</f>
        <v>10.4097007874016</v>
      </c>
      <c r="L105" s="81" t="n">
        <f aca="false">4*(L$82*(0.188+$C$81))+2</f>
        <v>11.4609133858268</v>
      </c>
      <c r="M105" s="81" t="n">
        <f aca="false">4*(M$82*(0.188+$C$81))+2</f>
        <v>12.512125984252</v>
      </c>
      <c r="N105" s="81" t="n">
        <f aca="false">4*(N$82*(0.188+$C$81))+2</f>
        <v>13.5633385826772</v>
      </c>
      <c r="O105" s="81" t="n">
        <f aca="false">4*(O$82*(0.188+$C$81))+2</f>
        <v>14.6145511811024</v>
      </c>
      <c r="P105" s="81" t="n">
        <f aca="false">4*(P$82*(0.188+$C$81))+2</f>
        <v>15.6657637795276</v>
      </c>
      <c r="Q105" s="81" t="n">
        <f aca="false">4*(Q$82*(0.188+$C$81))+2</f>
        <v>16.7169763779528</v>
      </c>
      <c r="R105" s="81" t="n">
        <f aca="false">4*(R$82*(0.188+$C$81))+2</f>
        <v>17.768188976378</v>
      </c>
      <c r="S105" s="81" t="n">
        <f aca="false">4*(S$82*(0.188+$C$81))+2</f>
        <v>18.8194015748032</v>
      </c>
      <c r="T105" s="81" t="n">
        <f aca="false">4*(T$82*(0.188+$C$81))+2</f>
        <v>19.8706141732283</v>
      </c>
      <c r="U105" s="81" t="n">
        <f aca="false">4*(U$82*(0.188+$C$81))+2</f>
        <v>20.9218267716535</v>
      </c>
      <c r="V105" s="81" t="n">
        <f aca="false">4*(V$82*(0.188+$C$81))+2</f>
        <v>21.9730393700787</v>
      </c>
      <c r="W105" s="81" t="n">
        <f aca="false">4*(W$82*(0.188+$C$81))+2</f>
        <v>23.0242519685039</v>
      </c>
      <c r="X105" s="81" t="n">
        <f aca="false">4*(X$82*(0.188+$C$81))+2</f>
        <v>24.0754645669291</v>
      </c>
      <c r="Y105" s="81" t="n">
        <f aca="false">4*(Y$82*(0.188+$C$81))+2</f>
        <v>25.1266771653543</v>
      </c>
      <c r="Z105" s="81" t="n">
        <f aca="false">4*(Z$82*(0.188+$C$81))+2</f>
        <v>26.1778897637795</v>
      </c>
      <c r="AA105" s="81" t="n">
        <f aca="false">4*(AA$82*(0.188+$C$81))+2</f>
        <v>27.2291023622047</v>
      </c>
    </row>
    <row r="106" customFormat="false" ht="15" hidden="false" customHeight="false" outlineLevel="0" collapsed="false">
      <c r="A106" s="16" t="n">
        <v>24</v>
      </c>
      <c r="B106" s="46" t="str">
        <f aca="false">'Stitch Library'!B29</f>
        <v>503 1/4" 2 Thd Serge</v>
      </c>
      <c r="H106" s="81" t="n">
        <f aca="false">4*(H$82*(0.25+$C$81))+2</f>
        <v>8.49606299212598</v>
      </c>
      <c r="I106" s="81" t="n">
        <f aca="false">4*(I$82*(0.25+$C$81))+2</f>
        <v>9.79527559055118</v>
      </c>
      <c r="J106" s="81" t="n">
        <f aca="false">4*(J$82*(0.25+$C$81))+2</f>
        <v>11.0944881889764</v>
      </c>
      <c r="K106" s="81" t="n">
        <f aca="false">4*(K$82*(0.25+$C$81))+2</f>
        <v>12.3937007874016</v>
      </c>
      <c r="L106" s="81" t="n">
        <f aca="false">4*(L$82*(0.25+$C$81))+2</f>
        <v>13.6929133858268</v>
      </c>
      <c r="M106" s="81" t="n">
        <f aca="false">4*(M$82*(0.25+$C$81))+2</f>
        <v>14.992125984252</v>
      </c>
      <c r="N106" s="81" t="n">
        <f aca="false">4*(N$82*(0.25+$C$81))+2</f>
        <v>16.2913385826772</v>
      </c>
      <c r="O106" s="81" t="n">
        <f aca="false">4*(O$82*(0.25+$C$81))+2</f>
        <v>17.5905511811024</v>
      </c>
      <c r="P106" s="81" t="n">
        <f aca="false">4*(P$82*(0.25+$C$81))+2</f>
        <v>18.8897637795276</v>
      </c>
      <c r="Q106" s="81" t="n">
        <f aca="false">4*(Q$82*(0.25+$C$81))+2</f>
        <v>20.1889763779528</v>
      </c>
      <c r="R106" s="81" t="n">
        <f aca="false">4*(R$82*(0.25+$C$81))+2</f>
        <v>21.488188976378</v>
      </c>
      <c r="S106" s="81" t="n">
        <f aca="false">4*(S$82*(0.25+$C$81))+2</f>
        <v>22.7874015748031</v>
      </c>
      <c r="T106" s="81" t="n">
        <f aca="false">4*(T$82*(0.25+$C$81))+2</f>
        <v>24.0866141732283</v>
      </c>
      <c r="U106" s="81" t="n">
        <f aca="false">4*(U$82*(0.25+$C$81))+2</f>
        <v>25.3858267716535</v>
      </c>
      <c r="V106" s="81" t="n">
        <f aca="false">4*(V$82*(0.25+$C$81))+2</f>
        <v>26.6850393700787</v>
      </c>
      <c r="W106" s="81" t="n">
        <f aca="false">4*(W$82*(0.25+$C$81))+2</f>
        <v>27.9842519685039</v>
      </c>
      <c r="X106" s="81" t="n">
        <f aca="false">4*(X$82*(0.25+$C$81))+2</f>
        <v>29.2834645669291</v>
      </c>
      <c r="Y106" s="81" t="n">
        <f aca="false">4*(Y$82*(0.25+$C$81))+2</f>
        <v>30.5826771653543</v>
      </c>
      <c r="Z106" s="81" t="n">
        <f aca="false">4*(Z$82*(0.25+$C$81))+2</f>
        <v>31.8818897637795</v>
      </c>
      <c r="AA106" s="81" t="n">
        <f aca="false">4*(AA$82*(0.25+$C$81))+2</f>
        <v>33.1811023622047</v>
      </c>
    </row>
    <row r="107" customFormat="false" ht="15" hidden="false" customHeight="false" outlineLevel="0" collapsed="false">
      <c r="A107" s="16" t="n">
        <v>25</v>
      </c>
      <c r="B107" s="46" t="str">
        <f aca="false">'Stitch Library'!B30</f>
        <v>504 1/8" 1 Ndl Overedge</v>
      </c>
      <c r="H107" s="81" t="n">
        <f aca="false">4*(H$82*(0.125+$C$81))+5</f>
        <v>8.99606299212599</v>
      </c>
      <c r="I107" s="81" t="n">
        <f aca="false">4*(I$82*(0.125+$C$81))+5</f>
        <v>9.79527559055118</v>
      </c>
      <c r="J107" s="81" t="n">
        <f aca="false">4*(J$82*(0.125+$C$81))+5</f>
        <v>10.5944881889764</v>
      </c>
      <c r="K107" s="81" t="n">
        <f aca="false">4*(K$82*(0.125+$C$81))+5</f>
        <v>11.3937007874016</v>
      </c>
      <c r="L107" s="81" t="n">
        <f aca="false">4*(L$82*(0.125+$C$81))+5</f>
        <v>12.1929133858268</v>
      </c>
      <c r="M107" s="81" t="n">
        <f aca="false">4*(M$82*(0.125+$C$81))+5</f>
        <v>12.992125984252</v>
      </c>
      <c r="N107" s="81" t="n">
        <f aca="false">4*(N$82*(0.125+$C$81))+5</f>
        <v>13.7913385826772</v>
      </c>
      <c r="O107" s="81" t="n">
        <f aca="false">4*(O$82*(0.125+$C$81))+5</f>
        <v>14.5905511811024</v>
      </c>
      <c r="P107" s="81" t="n">
        <f aca="false">4*(P$82*(0.125+$C$81))+5</f>
        <v>15.3897637795276</v>
      </c>
      <c r="Q107" s="81" t="n">
        <f aca="false">4*(Q$82*(0.125+$C$81))+5</f>
        <v>16.1889763779528</v>
      </c>
      <c r="R107" s="81" t="n">
        <f aca="false">4*(R$82*(0.125+$C$81))+5</f>
        <v>16.988188976378</v>
      </c>
      <c r="S107" s="81" t="n">
        <f aca="false">4*(S$82*(0.125+$C$81))+5</f>
        <v>17.7874015748031</v>
      </c>
      <c r="T107" s="81" t="n">
        <f aca="false">4*(T$82*(0.125+$C$81))+5</f>
        <v>18.5866141732283</v>
      </c>
      <c r="U107" s="81" t="n">
        <f aca="false">4*(U$82*(0.125+$C$81))+5</f>
        <v>19.3858267716535</v>
      </c>
      <c r="V107" s="81" t="n">
        <f aca="false">4*(V$82*(0.125+$C$81))+5</f>
        <v>20.1850393700787</v>
      </c>
      <c r="W107" s="81" t="n">
        <f aca="false">4*(W$82*(0.125+$C$81))+5</f>
        <v>20.9842519685039</v>
      </c>
      <c r="X107" s="81" t="n">
        <f aca="false">4*(X$82*(0.125+$C$81))+5</f>
        <v>21.7834645669291</v>
      </c>
      <c r="Y107" s="81" t="n">
        <f aca="false">4*(Y$82*(0.125+$C$81))+5</f>
        <v>22.5826771653543</v>
      </c>
      <c r="Z107" s="81" t="n">
        <f aca="false">4*(Z$82*(0.125+$C$81))+5</f>
        <v>23.3818897637795</v>
      </c>
      <c r="AA107" s="81" t="n">
        <f aca="false">4*(AA$82*(0.125+$C$81))+5</f>
        <v>24.1811023622047</v>
      </c>
    </row>
    <row r="108" customFormat="false" ht="15" hidden="false" customHeight="false" outlineLevel="0" collapsed="false">
      <c r="A108" s="16" t="n">
        <v>26</v>
      </c>
      <c r="B108" s="46" t="str">
        <f aca="false">'Stitch Library'!B31</f>
        <v>504 3/16" 1 Ndl Overedge</v>
      </c>
      <c r="H108" s="81" t="n">
        <f aca="false">4*(H$82*(0.188+$C$81))+5</f>
        <v>10.256062992126</v>
      </c>
      <c r="I108" s="81" t="n">
        <f aca="false">4*(I$82*(0.188+$C$81))+5</f>
        <v>11.3072755905512</v>
      </c>
      <c r="J108" s="81" t="n">
        <f aca="false">4*(J$82*(0.188+$C$81))+5</f>
        <v>12.3584881889764</v>
      </c>
      <c r="K108" s="81" t="n">
        <f aca="false">4*(K$82*(0.188+$C$81))+5</f>
        <v>13.4097007874016</v>
      </c>
      <c r="L108" s="81" t="n">
        <f aca="false">4*(L$82*(0.188+$C$81))+5</f>
        <v>14.4609133858268</v>
      </c>
      <c r="M108" s="81" t="n">
        <f aca="false">4*(M$82*(0.188+$C$81))+5</f>
        <v>15.512125984252</v>
      </c>
      <c r="N108" s="81" t="n">
        <f aca="false">4*(N$82*(0.188+$C$81))+5</f>
        <v>16.5633385826772</v>
      </c>
      <c r="O108" s="81" t="n">
        <f aca="false">4*(O$82*(0.188+$C$81))+5</f>
        <v>17.6145511811024</v>
      </c>
      <c r="P108" s="81" t="n">
        <f aca="false">4*(P$82*(0.188+$C$81))+5</f>
        <v>18.6657637795276</v>
      </c>
      <c r="Q108" s="81" t="n">
        <f aca="false">4*(Q$82*(0.188+$C$81))+5</f>
        <v>19.7169763779528</v>
      </c>
      <c r="R108" s="81" t="n">
        <f aca="false">4*(R$82*(0.188+$C$81))+5</f>
        <v>20.768188976378</v>
      </c>
      <c r="S108" s="81" t="n">
        <f aca="false">4*(S$82*(0.188+$C$81))+5</f>
        <v>21.8194015748032</v>
      </c>
      <c r="T108" s="81" t="n">
        <f aca="false">4*(T$82*(0.188+$C$81))+5</f>
        <v>22.8706141732283</v>
      </c>
      <c r="U108" s="81" t="n">
        <f aca="false">4*(U$82*(0.188+$C$81))+5</f>
        <v>23.9218267716535</v>
      </c>
      <c r="V108" s="81" t="n">
        <f aca="false">4*(V$82*(0.188+$C$81))+5</f>
        <v>24.9730393700787</v>
      </c>
      <c r="W108" s="81" t="n">
        <f aca="false">4*(W$82*(0.188+$C$81))+5</f>
        <v>26.0242519685039</v>
      </c>
      <c r="X108" s="81" t="n">
        <f aca="false">4*(X$82*(0.188+$C$81))+5</f>
        <v>27.0754645669291</v>
      </c>
      <c r="Y108" s="81" t="n">
        <f aca="false">4*(Y$82*(0.188+$C$81))+5</f>
        <v>28.1266771653543</v>
      </c>
      <c r="Z108" s="81" t="n">
        <f aca="false">4*(Z$82*(0.188+$C$81))+5</f>
        <v>29.1778897637795</v>
      </c>
      <c r="AA108" s="81" t="n">
        <f aca="false">4*(AA$82*(0.188+$C$81))+5</f>
        <v>30.2291023622047</v>
      </c>
    </row>
    <row r="109" customFormat="false" ht="15" hidden="false" customHeight="false" outlineLevel="0" collapsed="false">
      <c r="A109" s="16" t="n">
        <v>27</v>
      </c>
      <c r="B109" s="46" t="str">
        <f aca="false">'Stitch Library'!B32</f>
        <v>504 1/4" 1 Ndl Overedge</v>
      </c>
      <c r="H109" s="81" t="n">
        <f aca="false">4*(H$82*(0.25+$C$81))+5</f>
        <v>11.496062992126</v>
      </c>
      <c r="I109" s="81" t="n">
        <f aca="false">4*(I$82*(0.25+$C$81))+5</f>
        <v>12.7952755905512</v>
      </c>
      <c r="J109" s="81" t="n">
        <f aca="false">4*(J$82*(0.25+$C$81))+5</f>
        <v>14.0944881889764</v>
      </c>
      <c r="K109" s="81" t="n">
        <f aca="false">4*(K$82*(0.25+$C$81))+5</f>
        <v>15.3937007874016</v>
      </c>
      <c r="L109" s="81" t="n">
        <f aca="false">4*(L$82*(0.25+$C$81))+5</f>
        <v>16.6929133858268</v>
      </c>
      <c r="M109" s="81" t="n">
        <f aca="false">4*(M$82*(0.25+$C$81))+5</f>
        <v>17.992125984252</v>
      </c>
      <c r="N109" s="81" t="n">
        <f aca="false">4*(N$82*(0.25+$C$81))+5</f>
        <v>19.2913385826772</v>
      </c>
      <c r="O109" s="81" t="n">
        <f aca="false">4*(O$82*(0.25+$C$81))+5</f>
        <v>20.5905511811024</v>
      </c>
      <c r="P109" s="81" t="n">
        <f aca="false">4*(P$82*(0.25+$C$81))+5</f>
        <v>21.8897637795276</v>
      </c>
      <c r="Q109" s="81" t="n">
        <f aca="false">4*(Q$82*(0.25+$C$81))+5</f>
        <v>23.1889763779528</v>
      </c>
      <c r="R109" s="81" t="n">
        <f aca="false">4*(R$82*(0.25+$C$81))+5</f>
        <v>24.488188976378</v>
      </c>
      <c r="S109" s="81" t="n">
        <f aca="false">4*(S$82*(0.25+$C$81))+5</f>
        <v>25.7874015748031</v>
      </c>
      <c r="T109" s="81" t="n">
        <f aca="false">4*(T$82*(0.25+$C$81))+5</f>
        <v>27.0866141732283</v>
      </c>
      <c r="U109" s="81" t="n">
        <f aca="false">4*(U$82*(0.25+$C$81))+5</f>
        <v>28.3858267716535</v>
      </c>
      <c r="V109" s="81" t="n">
        <f aca="false">4*(V$82*(0.25+$C$81))+5</f>
        <v>29.6850393700787</v>
      </c>
      <c r="W109" s="81" t="n">
        <f aca="false">4*(W$82*(0.25+$C$81))+5</f>
        <v>30.9842519685039</v>
      </c>
      <c r="X109" s="81" t="n">
        <f aca="false">4*(X$82*(0.25+$C$81))+5</f>
        <v>32.2834645669291</v>
      </c>
      <c r="Y109" s="81" t="n">
        <f aca="false">4*(Y$82*(0.25+$C$81))+5</f>
        <v>33.5826771653543</v>
      </c>
      <c r="Z109" s="81" t="n">
        <f aca="false">4*(Z$82*(0.25+$C$81))+5</f>
        <v>34.8818897637795</v>
      </c>
      <c r="AA109" s="81" t="n">
        <f aca="false">4*(AA$82*(0.25+$C$81))+5</f>
        <v>36.1811023622047</v>
      </c>
    </row>
    <row r="110" customFormat="false" ht="15" hidden="false" customHeight="false" outlineLevel="0" collapsed="false">
      <c r="A110" s="16" t="n">
        <v>28</v>
      </c>
      <c r="B110" s="46" t="str">
        <f aca="false">'Stitch Library'!B33</f>
        <v>512 (3/16) 2 Ndl Overedge</v>
      </c>
      <c r="H110" s="81" t="n">
        <f aca="false">5+6*(H$82*$C$81)+2.18*(0.188*H$82)</f>
        <v>9.29329448818898</v>
      </c>
      <c r="I110" s="81" t="n">
        <f aca="false">5+6*(I$82*$C$81)+2.18*(0.188*I$82)</f>
        <v>10.1519533858268</v>
      </c>
      <c r="J110" s="81" t="n">
        <f aca="false">5+6*(J$82*$C$81)+2.18*(0.188*J$82)</f>
        <v>11.0106122834646</v>
      </c>
      <c r="K110" s="81" t="n">
        <f aca="false">5+6*(K$82*$C$81)+2.18*(0.188*K$82)</f>
        <v>11.8692711811024</v>
      </c>
      <c r="L110" s="81" t="n">
        <f aca="false">5+6*(L$82*$C$81)+2.18*(0.188*L$82)</f>
        <v>12.7279300787402</v>
      </c>
      <c r="M110" s="81" t="n">
        <f aca="false">5+6*(M$82*$C$81)+2.18*(0.188*M$82)</f>
        <v>13.586588976378</v>
      </c>
      <c r="N110" s="81" t="n">
        <f aca="false">5+6*(N$82*$C$81)+2.18*(0.188*N$82)</f>
        <v>14.4452478740157</v>
      </c>
      <c r="O110" s="81" t="n">
        <f aca="false">5+6*(O$82*$C$81)+2.18*(0.188*O$82)</f>
        <v>15.3039067716535</v>
      </c>
      <c r="P110" s="81" t="n">
        <f aca="false">5+6*(P$82*$C$81)+2.18*(0.188*P$82)</f>
        <v>16.1625656692913</v>
      </c>
      <c r="Q110" s="81" t="n">
        <f aca="false">5+6*(Q$82*$C$81)+2.18*(0.188*Q$82)</f>
        <v>17.0212245669291</v>
      </c>
      <c r="R110" s="81" t="n">
        <f aca="false">5+6*(R$82*$C$81)+2.18*(0.188*R$82)</f>
        <v>17.8798834645669</v>
      </c>
      <c r="S110" s="81" t="n">
        <f aca="false">5+6*(S$82*$C$81)+2.18*(0.188*S$82)</f>
        <v>18.7385423622047</v>
      </c>
      <c r="T110" s="81" t="n">
        <f aca="false">5+6*(T$82*$C$81)+2.18*(0.188*T$82)</f>
        <v>19.5972012598425</v>
      </c>
      <c r="U110" s="81" t="n">
        <f aca="false">5+6*(U$82*$C$81)+2.18*(0.188*U$82)</f>
        <v>20.4558601574803</v>
      </c>
      <c r="V110" s="81" t="n">
        <f aca="false">5+6*(V$82*$C$81)+2.18*(0.188*V$82)</f>
        <v>21.3145190551181</v>
      </c>
      <c r="W110" s="81" t="n">
        <f aca="false">5+6*(W$82*$C$81)+2.18*(0.188*W$82)</f>
        <v>22.1731779527559</v>
      </c>
      <c r="X110" s="81" t="n">
        <f aca="false">5+6*(X$82*$C$81)+2.18*(0.188*X$82)</f>
        <v>23.0318368503937</v>
      </c>
      <c r="Y110" s="81" t="n">
        <f aca="false">5+6*(Y$82*$C$81)+2.18*(0.188*Y$82)</f>
        <v>23.8904957480315</v>
      </c>
      <c r="Z110" s="81" t="n">
        <f aca="false">5+6*(Z$82*$C$81)+2.18*(0.188*Z$82)</f>
        <v>24.7491546456693</v>
      </c>
      <c r="AA110" s="81" t="n">
        <f aca="false">5+6*(AA$82*$C$81)+2.18*(0.188*AA$82)</f>
        <v>25.6078135433071</v>
      </c>
    </row>
    <row r="111" customFormat="false" ht="15" hidden="false" customHeight="false" outlineLevel="0" collapsed="false">
      <c r="A111" s="16" t="n">
        <v>29</v>
      </c>
      <c r="B111" s="46" t="str">
        <f aca="false">'Stitch Library'!B34</f>
        <v>512 (1/4) 2 Ndl Overedge</v>
      </c>
      <c r="H111" s="81" t="n">
        <f aca="false">5+6*(H$82*$C$81)+2.18*(0.25*H$82)</f>
        <v>9.96909448818898</v>
      </c>
      <c r="I111" s="81" t="n">
        <f aca="false">5+6*(I$82*$C$81)+2.18*(0.25*I$82)</f>
        <v>10.9629133858268</v>
      </c>
      <c r="J111" s="81" t="n">
        <f aca="false">5+6*(J$82*$C$81)+2.18*(0.25*J$82)</f>
        <v>11.9567322834646</v>
      </c>
      <c r="K111" s="81" t="n">
        <f aca="false">5+6*(K$82*$C$81)+2.18*(0.25*K$82)</f>
        <v>12.9505511811024</v>
      </c>
      <c r="L111" s="81" t="n">
        <f aca="false">5+6*(L$82*$C$81)+2.18*(0.25*L$82)</f>
        <v>13.9443700787402</v>
      </c>
      <c r="M111" s="81" t="n">
        <f aca="false">5+6*(M$82*$C$81)+2.18*(0.25*M$82)</f>
        <v>14.938188976378</v>
      </c>
      <c r="N111" s="81" t="n">
        <f aca="false">5+6*(N$82*$C$81)+2.18*(0.25*N$82)</f>
        <v>15.9320078740158</v>
      </c>
      <c r="O111" s="81" t="n">
        <f aca="false">5+6*(O$82*$C$81)+2.18*(0.25*O$82)</f>
        <v>16.9258267716535</v>
      </c>
      <c r="P111" s="81" t="n">
        <f aca="false">5+6*(P$82*$C$81)+2.18*(0.25*P$82)</f>
        <v>17.9196456692913</v>
      </c>
      <c r="Q111" s="81" t="n">
        <f aca="false">5+6*(Q$82*$C$81)+2.18*(0.25*Q$82)</f>
        <v>18.9134645669291</v>
      </c>
      <c r="R111" s="81" t="n">
        <f aca="false">5+6*(R$82*$C$81)+2.18*(0.25*R$82)</f>
        <v>19.9072834645669</v>
      </c>
      <c r="S111" s="81" t="n">
        <f aca="false">5+6*(S$82*$C$81)+2.18*(0.25*S$82)</f>
        <v>20.9011023622047</v>
      </c>
      <c r="T111" s="81" t="n">
        <f aca="false">5+6*(T$82*$C$81)+2.18*(0.25*T$82)</f>
        <v>21.8949212598425</v>
      </c>
      <c r="U111" s="81" t="n">
        <f aca="false">5+6*(U$82*$C$81)+2.18*(0.25*U$82)</f>
        <v>22.8887401574803</v>
      </c>
      <c r="V111" s="81" t="n">
        <f aca="false">5+6*(V$82*$C$81)+2.18*(0.25*V$82)</f>
        <v>23.8825590551181</v>
      </c>
      <c r="W111" s="81" t="n">
        <f aca="false">5+6*(W$82*$C$81)+2.18*(0.25*W$82)</f>
        <v>24.8763779527559</v>
      </c>
      <c r="X111" s="81" t="n">
        <f aca="false">5+6*(X$82*$C$81)+2.18*(0.25*X$82)</f>
        <v>25.8701968503937</v>
      </c>
      <c r="Y111" s="81" t="n">
        <f aca="false">5+6*(Y$82*$C$81)+2.18*(0.25*Y$82)</f>
        <v>26.8640157480315</v>
      </c>
      <c r="Z111" s="81" t="n">
        <f aca="false">5+6*(Z$82*$C$81)+2.18*(0.25*Z$82)</f>
        <v>27.8578346456693</v>
      </c>
      <c r="AA111" s="81" t="n">
        <f aca="false">5+6*(AA$82*$C$81)+2.18*(0.25*AA$82)</f>
        <v>28.8516535433071</v>
      </c>
    </row>
    <row r="112" customFormat="false" ht="15" hidden="false" customHeight="false" outlineLevel="0" collapsed="false">
      <c r="A112" s="16" t="n">
        <v>30</v>
      </c>
      <c r="B112" s="46" t="str">
        <f aca="false">'Stitch Library'!B35</f>
        <v>512 (5/16) 2 Ndl Overedge</v>
      </c>
      <c r="H112" s="81" t="n">
        <f aca="false">5+6*(H$82*$C$81)+2.18*(0.313*H$82)</f>
        <v>10.655794488189</v>
      </c>
      <c r="I112" s="81" t="n">
        <f aca="false">5+6*(I$82*$C$81)+2.18*(0.313*I$82)</f>
        <v>11.7869533858268</v>
      </c>
      <c r="J112" s="81" t="n">
        <f aca="false">5+6*(J$82*$C$81)+2.18*(0.313*J$82)</f>
        <v>12.9181122834646</v>
      </c>
      <c r="K112" s="81" t="n">
        <f aca="false">5+6*(K$82*$C$81)+2.18*(0.313*K$82)</f>
        <v>14.0492711811024</v>
      </c>
      <c r="L112" s="81" t="n">
        <f aca="false">5+6*(L$82*$C$81)+2.18*(0.313*L$82)</f>
        <v>15.1804300787402</v>
      </c>
      <c r="M112" s="81" t="n">
        <f aca="false">5+6*(M$82*$C$81)+2.18*(0.313*M$82)</f>
        <v>16.311588976378</v>
      </c>
      <c r="N112" s="81" t="n">
        <f aca="false">5+6*(N$82*$C$81)+2.18*(0.313*N$82)</f>
        <v>17.4427478740157</v>
      </c>
      <c r="O112" s="81" t="n">
        <f aca="false">5+6*(O$82*$C$81)+2.18*(0.313*O$82)</f>
        <v>18.5739067716535</v>
      </c>
      <c r="P112" s="81" t="n">
        <f aca="false">5+6*(P$82*$C$81)+2.18*(0.313*P$82)</f>
        <v>19.7050656692913</v>
      </c>
      <c r="Q112" s="81" t="n">
        <f aca="false">5+6*(Q$82*$C$81)+2.18*(0.313*Q$82)</f>
        <v>20.8362245669291</v>
      </c>
      <c r="R112" s="81" t="n">
        <f aca="false">5+6*(R$82*$C$81)+2.18*(0.313*R$82)</f>
        <v>21.9673834645669</v>
      </c>
      <c r="S112" s="81" t="n">
        <f aca="false">5+6*(S$82*$C$81)+2.18*(0.313*S$82)</f>
        <v>23.0985423622047</v>
      </c>
      <c r="T112" s="81" t="n">
        <f aca="false">5+6*(T$82*$C$81)+2.18*(0.313*T$82)</f>
        <v>24.2297012598425</v>
      </c>
      <c r="U112" s="81" t="n">
        <f aca="false">5+6*(U$82*$C$81)+2.18*(0.313*U$82)</f>
        <v>25.3608601574803</v>
      </c>
      <c r="V112" s="81" t="n">
        <f aca="false">5+6*(V$82*$C$81)+2.18*(0.313*V$82)</f>
        <v>26.4920190551181</v>
      </c>
      <c r="W112" s="81" t="n">
        <f aca="false">5+6*(W$82*$C$81)+2.18*(0.313*W$82)</f>
        <v>27.6231779527559</v>
      </c>
      <c r="X112" s="81" t="n">
        <f aca="false">5+6*(X$82*$C$81)+2.18*(0.313*X$82)</f>
        <v>28.7543368503937</v>
      </c>
      <c r="Y112" s="81" t="n">
        <f aca="false">5+6*(Y$82*$C$81)+2.18*(0.313*Y$82)</f>
        <v>29.8854957480315</v>
      </c>
      <c r="Z112" s="81" t="n">
        <f aca="false">5+6*(Z$82*$C$81)+2.18*(0.313*Z$82)</f>
        <v>31.0166546456693</v>
      </c>
      <c r="AA112" s="81" t="n">
        <f aca="false">5+6*(AA$82*$C$81)+2.18*(0.313*AA$82)</f>
        <v>32.1478135433071</v>
      </c>
    </row>
    <row r="113" customFormat="false" ht="15" hidden="false" customHeight="false" outlineLevel="0" collapsed="false">
      <c r="A113" s="16" t="n">
        <v>31</v>
      </c>
      <c r="B113" s="46" t="str">
        <f aca="false">'Stitch Library'!B36</f>
        <v>514 (3/16") 2 Ndl Overedge</v>
      </c>
      <c r="H113" s="81" t="n">
        <f aca="false">5+6*(H$82*$C$81)+4*(0.188*H$82)</f>
        <v>11.004094488189</v>
      </c>
      <c r="I113" s="81" t="n">
        <f aca="false">5+6*(I$82*$C$81)+4*(0.188*I$82)</f>
        <v>12.2049133858268</v>
      </c>
      <c r="J113" s="81" t="n">
        <f aca="false">5+6*(J$82*$C$81)+4*(0.188*J$82)</f>
        <v>13.4057322834646</v>
      </c>
      <c r="K113" s="81" t="n">
        <f aca="false">5+6*(K$82*$C$81)+4*(0.188*K$82)</f>
        <v>14.6065511811024</v>
      </c>
      <c r="L113" s="81" t="n">
        <f aca="false">5+6*(L$82*$C$81)+4*(0.188*L$82)</f>
        <v>15.8073700787402</v>
      </c>
      <c r="M113" s="81" t="n">
        <f aca="false">5+6*(M$82*$C$81)+4*(0.188*M$82)</f>
        <v>17.008188976378</v>
      </c>
      <c r="N113" s="81" t="n">
        <f aca="false">5+6*(N$82*$C$81)+4*(0.188*N$82)</f>
        <v>18.2090078740157</v>
      </c>
      <c r="O113" s="81" t="n">
        <f aca="false">5+6*(O$82*$C$81)+4*(0.188*O$82)</f>
        <v>19.4098267716535</v>
      </c>
      <c r="P113" s="81" t="n">
        <f aca="false">5+6*(P$82*$C$81)+4*(0.188*P$82)</f>
        <v>20.6106456692913</v>
      </c>
      <c r="Q113" s="81" t="n">
        <f aca="false">5+6*(Q$82*$C$81)+4*(0.188*Q$82)</f>
        <v>21.8114645669291</v>
      </c>
      <c r="R113" s="81" t="n">
        <f aca="false">5+6*(R$82*$C$81)+4*(0.188*R$82)</f>
        <v>23.0122834645669</v>
      </c>
      <c r="S113" s="81" t="n">
        <f aca="false">5+6*(S$82*$C$81)+4*(0.188*S$82)</f>
        <v>24.2131023622047</v>
      </c>
      <c r="T113" s="81" t="n">
        <f aca="false">5+6*(T$82*$C$81)+4*(0.188*T$82)</f>
        <v>25.4139212598425</v>
      </c>
      <c r="U113" s="81" t="n">
        <f aca="false">5+6*(U$82*$C$81)+4*(0.188*U$82)</f>
        <v>26.6147401574803</v>
      </c>
      <c r="V113" s="81" t="n">
        <f aca="false">5+6*(V$82*$C$81)+4*(0.188*V$82)</f>
        <v>27.8155590551181</v>
      </c>
      <c r="W113" s="81" t="n">
        <f aca="false">5+6*(W$82*$C$81)+4*(0.188*W$82)</f>
        <v>29.0163779527559</v>
      </c>
      <c r="X113" s="81" t="n">
        <f aca="false">5+6*(X$82*$C$81)+4*(0.188*X$82)</f>
        <v>30.2171968503937</v>
      </c>
      <c r="Y113" s="81" t="n">
        <f aca="false">5+6*(Y$82*$C$81)+4*(0.188*Y$82)</f>
        <v>31.4180157480315</v>
      </c>
      <c r="Z113" s="81" t="n">
        <f aca="false">5+6*(Z$82*$C$81)+4*(0.188*Z$82)</f>
        <v>32.6188346456693</v>
      </c>
      <c r="AA113" s="81" t="n">
        <f aca="false">5+6*(AA$82*$C$81)+4*(0.188*AA$82)</f>
        <v>33.8196535433071</v>
      </c>
    </row>
    <row r="114" customFormat="false" ht="15" hidden="false" customHeight="false" outlineLevel="0" collapsed="false">
      <c r="A114" s="16" t="n">
        <v>32</v>
      </c>
      <c r="B114" s="46" t="str">
        <f aca="false">'Stitch Library'!B37</f>
        <v>514 (1/4") 2 Ndl Overedge</v>
      </c>
      <c r="H114" s="81" t="n">
        <f aca="false">5+6*(H$82*$C$81)+4*(0.25*H$82)</f>
        <v>12.244094488189</v>
      </c>
      <c r="I114" s="81" t="n">
        <f aca="false">5+6*(I$82*$C$81)+4*(0.25*I$82)</f>
        <v>13.6929133858268</v>
      </c>
      <c r="J114" s="81" t="n">
        <f aca="false">5+6*(J$82*$C$81)+4*(0.25*J$82)</f>
        <v>15.1417322834646</v>
      </c>
      <c r="K114" s="81" t="n">
        <f aca="false">5+6*(K$82*$C$81)+4*(0.25*K$82)</f>
        <v>16.5905511811024</v>
      </c>
      <c r="L114" s="81" t="n">
        <f aca="false">5+6*(L$82*$C$81)+4*(0.25*L$82)</f>
        <v>18.0393700787402</v>
      </c>
      <c r="M114" s="81" t="n">
        <f aca="false">5+6*(M$82*$C$81)+4*(0.25*M$82)</f>
        <v>19.488188976378</v>
      </c>
      <c r="N114" s="81" t="n">
        <f aca="false">5+6*(N$82*$C$81)+4*(0.25*N$82)</f>
        <v>20.9370078740157</v>
      </c>
      <c r="O114" s="81" t="n">
        <f aca="false">5+6*(O$82*$C$81)+4*(0.25*O$82)</f>
        <v>22.3858267716535</v>
      </c>
      <c r="P114" s="81" t="n">
        <f aca="false">5+6*(P$82*$C$81)+4*(0.25*P$82)</f>
        <v>23.8346456692913</v>
      </c>
      <c r="Q114" s="81" t="n">
        <f aca="false">5+6*(Q$82*$C$81)+4*(0.25*Q$82)</f>
        <v>25.2834645669291</v>
      </c>
      <c r="R114" s="81" t="n">
        <f aca="false">5+6*(R$82*$C$81)+4*(0.25*R$82)</f>
        <v>26.7322834645669</v>
      </c>
      <c r="S114" s="81" t="n">
        <f aca="false">5+6*(S$82*$C$81)+4*(0.25*S$82)</f>
        <v>28.1811023622047</v>
      </c>
      <c r="T114" s="81" t="n">
        <f aca="false">5+6*(T$82*$C$81)+4*(0.25*T$82)</f>
        <v>29.6299212598425</v>
      </c>
      <c r="U114" s="81" t="n">
        <f aca="false">5+6*(U$82*$C$81)+4*(0.25*U$82)</f>
        <v>31.0787401574803</v>
      </c>
      <c r="V114" s="81" t="n">
        <f aca="false">5+6*(V$82*$C$81)+4*(0.25*V$82)</f>
        <v>32.5275590551181</v>
      </c>
      <c r="W114" s="81" t="n">
        <f aca="false">5+6*(W$82*$C$81)+4*(0.25*W$82)</f>
        <v>33.9763779527559</v>
      </c>
      <c r="X114" s="81" t="n">
        <f aca="false">5+6*(X$82*$C$81)+4*(0.25*X$82)</f>
        <v>35.4251968503937</v>
      </c>
      <c r="Y114" s="81" t="n">
        <f aca="false">5+6*(Y$82*$C$81)+4*(0.25*Y$82)</f>
        <v>36.8740157480315</v>
      </c>
      <c r="Z114" s="81" t="n">
        <f aca="false">5+6*(Z$82*$C$81)+4*(0.25*Z$82)</f>
        <v>38.3228346456693</v>
      </c>
      <c r="AA114" s="81" t="n">
        <f aca="false">5+6*(AA$82*$C$81)+4*(0.25*AA$82)</f>
        <v>39.7716535433071</v>
      </c>
    </row>
    <row r="115" customFormat="false" ht="15" hidden="false" customHeight="false" outlineLevel="0" collapsed="false">
      <c r="A115" s="16" t="n">
        <v>33</v>
      </c>
      <c r="B115" s="46" t="str">
        <f aca="false">'Stitch Library'!B38</f>
        <v>514 (5/16") 2 Ndl Overedge</v>
      </c>
      <c r="H115" s="81" t="n">
        <f aca="false">5+6*(H$82*$C$81)+4*(0.313*H$82)</f>
        <v>13.504094488189</v>
      </c>
      <c r="I115" s="81" t="n">
        <f aca="false">5+6*(I$82*$C$81)+4*(0.313*I$82)</f>
        <v>15.2049133858268</v>
      </c>
      <c r="J115" s="81" t="n">
        <f aca="false">5+6*(J$82*$C$81)+4*(0.313*J$82)</f>
        <v>16.9057322834646</v>
      </c>
      <c r="K115" s="81" t="n">
        <f aca="false">5+6*(K$82*$C$81)+4*(0.313*K$82)</f>
        <v>18.6065511811024</v>
      </c>
      <c r="L115" s="81" t="n">
        <f aca="false">5+6*(L$82*$C$81)+4*(0.313*L$82)</f>
        <v>20.3073700787402</v>
      </c>
      <c r="M115" s="81" t="n">
        <f aca="false">5+6*(M$82*$C$81)+4*(0.313*M$82)</f>
        <v>22.008188976378</v>
      </c>
      <c r="N115" s="81" t="n">
        <f aca="false">5+6*(N$82*$C$81)+4*(0.313*N$82)</f>
        <v>23.7090078740157</v>
      </c>
      <c r="O115" s="81" t="n">
        <f aca="false">5+6*(O$82*$C$81)+4*(0.313*O$82)</f>
        <v>25.4098267716535</v>
      </c>
      <c r="P115" s="81" t="n">
        <f aca="false">5+6*(P$82*$C$81)+4*(0.313*P$82)</f>
        <v>27.1106456692913</v>
      </c>
      <c r="Q115" s="81" t="n">
        <f aca="false">5+6*(Q$82*$C$81)+4*(0.313*Q$82)</f>
        <v>28.8114645669291</v>
      </c>
      <c r="R115" s="81" t="n">
        <f aca="false">5+6*(R$82*$C$81)+4*(0.313*R$82)</f>
        <v>30.5122834645669</v>
      </c>
      <c r="S115" s="81" t="n">
        <f aca="false">5+6*(S$82*$C$81)+4*(0.313*S$82)</f>
        <v>32.2131023622047</v>
      </c>
      <c r="T115" s="81" t="n">
        <f aca="false">5+6*(T$82*$C$81)+4*(0.313*T$82)</f>
        <v>33.9139212598425</v>
      </c>
      <c r="U115" s="81" t="n">
        <f aca="false">5+6*(U$82*$C$81)+4*(0.313*U$82)</f>
        <v>35.6147401574803</v>
      </c>
      <c r="V115" s="81" t="n">
        <f aca="false">5+6*(V$82*$C$81)+4*(0.313*V$82)</f>
        <v>37.3155590551181</v>
      </c>
      <c r="W115" s="81" t="n">
        <f aca="false">5+6*(W$82*$C$81)+4*(0.313*W$82)</f>
        <v>39.0163779527559</v>
      </c>
      <c r="X115" s="81" t="n">
        <f aca="false">5+6*(X$82*$C$81)+4*(0.313*X$82)</f>
        <v>40.7171968503937</v>
      </c>
      <c r="Y115" s="81" t="n">
        <f aca="false">5+6*(Y$82*$C$81)+4*(0.313*Y$82)</f>
        <v>42.4180157480315</v>
      </c>
      <c r="Z115" s="81" t="n">
        <f aca="false">5+6*(Z$82*$C$81)+4*(0.313*Z$82)</f>
        <v>44.1188346456693</v>
      </c>
      <c r="AA115" s="81" t="n">
        <f aca="false">5+6*(AA$82*$C$81)+4*(0.313*AA$82)</f>
        <v>45.8196535433071</v>
      </c>
    </row>
    <row r="116" customFormat="false" ht="15" hidden="false" customHeight="false" outlineLevel="0" collapsed="false">
      <c r="A116" s="16" t="n">
        <v>34</v>
      </c>
      <c r="B116" s="46" t="str">
        <f aca="false">'Stitch Library'!B39</f>
        <v>515/401 Safetystitch Chain</v>
      </c>
      <c r="H116" s="81" t="n">
        <f aca="false">H96</f>
        <v>4.74803149606299</v>
      </c>
      <c r="I116" s="81" t="n">
        <f aca="false">I96</f>
        <v>4.89763779527559</v>
      </c>
      <c r="J116" s="81" t="n">
        <f aca="false">J96</f>
        <v>5.04724409448819</v>
      </c>
      <c r="K116" s="81" t="n">
        <f aca="false">K96</f>
        <v>5.19685039370079</v>
      </c>
      <c r="L116" s="81" t="n">
        <f aca="false">L96</f>
        <v>5.34645669291339</v>
      </c>
      <c r="M116" s="81" t="n">
        <f aca="false">M96</f>
        <v>5.49606299212598</v>
      </c>
      <c r="N116" s="81" t="n">
        <f aca="false">N96</f>
        <v>5.64566929133858</v>
      </c>
      <c r="O116" s="81" t="n">
        <f aca="false">O96</f>
        <v>5.79527559055118</v>
      </c>
      <c r="P116" s="81" t="n">
        <f aca="false">P96</f>
        <v>5.94488188976378</v>
      </c>
      <c r="Q116" s="81" t="n">
        <f aca="false">Q96</f>
        <v>6.09448818897638</v>
      </c>
      <c r="R116" s="81" t="n">
        <f aca="false">R96</f>
        <v>6.24409448818898</v>
      </c>
      <c r="S116" s="81" t="n">
        <f aca="false">S96</f>
        <v>6.39370078740158</v>
      </c>
      <c r="T116" s="81" t="n">
        <f aca="false">T96</f>
        <v>6.54330708661417</v>
      </c>
      <c r="U116" s="81" t="n">
        <f aca="false">U96</f>
        <v>6.69291338582677</v>
      </c>
      <c r="V116" s="81" t="n">
        <f aca="false">V96</f>
        <v>6.84251968503937</v>
      </c>
      <c r="W116" s="81" t="n">
        <f aca="false">W96</f>
        <v>6.99212598425197</v>
      </c>
      <c r="X116" s="81" t="n">
        <f aca="false">X96</f>
        <v>7.14173228346457</v>
      </c>
      <c r="Y116" s="81" t="n">
        <f aca="false">Y96</f>
        <v>7.29133858267717</v>
      </c>
      <c r="Z116" s="81" t="n">
        <f aca="false">Z96</f>
        <v>7.44094488188976</v>
      </c>
      <c r="AA116" s="81" t="n">
        <f aca="false">AA96</f>
        <v>7.59055118110236</v>
      </c>
    </row>
    <row r="117" customFormat="false" ht="15" hidden="false" customHeight="false" outlineLevel="0" collapsed="false">
      <c r="A117" s="16" t="n">
        <v>35</v>
      </c>
      <c r="B117" s="46" t="str">
        <f aca="false">'Stitch Library'!B40</f>
        <v>515/503 SafetyS Overedge</v>
      </c>
      <c r="H117" s="81" t="n">
        <f aca="false">H105</f>
        <v>7.25606299212599</v>
      </c>
      <c r="I117" s="81" t="n">
        <f aca="false">I105</f>
        <v>8.30727559055118</v>
      </c>
      <c r="J117" s="81" t="n">
        <f aca="false">J105</f>
        <v>9.35848818897638</v>
      </c>
      <c r="K117" s="81" t="n">
        <f aca="false">K105</f>
        <v>10.4097007874016</v>
      </c>
      <c r="L117" s="81" t="n">
        <f aca="false">L105</f>
        <v>11.4609133858268</v>
      </c>
      <c r="M117" s="81" t="n">
        <f aca="false">M105</f>
        <v>12.512125984252</v>
      </c>
      <c r="N117" s="81" t="n">
        <f aca="false">N105</f>
        <v>13.5633385826772</v>
      </c>
      <c r="O117" s="81" t="n">
        <f aca="false">O105</f>
        <v>14.6145511811024</v>
      </c>
      <c r="P117" s="81" t="n">
        <f aca="false">P105</f>
        <v>15.6657637795276</v>
      </c>
      <c r="Q117" s="81" t="n">
        <f aca="false">Q105</f>
        <v>16.7169763779528</v>
      </c>
      <c r="R117" s="81" t="n">
        <f aca="false">R105</f>
        <v>17.768188976378</v>
      </c>
      <c r="S117" s="81" t="n">
        <f aca="false">S105</f>
        <v>18.8194015748032</v>
      </c>
      <c r="T117" s="81" t="n">
        <f aca="false">T105</f>
        <v>19.8706141732283</v>
      </c>
      <c r="U117" s="81" t="n">
        <f aca="false">U105</f>
        <v>20.9218267716535</v>
      </c>
      <c r="V117" s="81" t="n">
        <f aca="false">V105</f>
        <v>21.9730393700787</v>
      </c>
      <c r="W117" s="81" t="n">
        <f aca="false">W105</f>
        <v>23.0242519685039</v>
      </c>
      <c r="X117" s="81" t="n">
        <f aca="false">X105</f>
        <v>24.0754645669291</v>
      </c>
      <c r="Y117" s="81" t="n">
        <f aca="false">Y105</f>
        <v>25.1266771653543</v>
      </c>
      <c r="Z117" s="81" t="n">
        <f aca="false">Z105</f>
        <v>26.1778897637795</v>
      </c>
      <c r="AA117" s="81" t="n">
        <f aca="false">AA105</f>
        <v>27.2291023622047</v>
      </c>
    </row>
    <row r="118" customFormat="false" ht="15" hidden="false" customHeight="false" outlineLevel="0" collapsed="false">
      <c r="A118" s="16" t="n">
        <v>36</v>
      </c>
      <c r="B118" s="46" t="str">
        <f aca="false">'Stitch Library'!B41</f>
        <v>515 /Both Safetystitch</v>
      </c>
      <c r="H118" s="81" t="n">
        <f aca="false">H96+H105</f>
        <v>12.004094488189</v>
      </c>
      <c r="I118" s="81" t="n">
        <f aca="false">I96+I105</f>
        <v>13.2049133858268</v>
      </c>
      <c r="J118" s="81" t="n">
        <f aca="false">J96+J105</f>
        <v>14.4057322834646</v>
      </c>
      <c r="K118" s="81" t="n">
        <f aca="false">K96+K105</f>
        <v>15.6065511811024</v>
      </c>
      <c r="L118" s="81" t="n">
        <f aca="false">L96+L105</f>
        <v>16.8073700787402</v>
      </c>
      <c r="M118" s="81" t="n">
        <f aca="false">M96+M105</f>
        <v>18.008188976378</v>
      </c>
      <c r="N118" s="81" t="n">
        <f aca="false">N96+N105</f>
        <v>19.2090078740158</v>
      </c>
      <c r="O118" s="81" t="n">
        <f aca="false">O96+O105</f>
        <v>20.4098267716535</v>
      </c>
      <c r="P118" s="81" t="n">
        <f aca="false">P96+P105</f>
        <v>21.6106456692913</v>
      </c>
      <c r="Q118" s="81" t="n">
        <f aca="false">Q96+Q105</f>
        <v>22.8114645669291</v>
      </c>
      <c r="R118" s="81" t="n">
        <f aca="false">R96+R105</f>
        <v>24.0122834645669</v>
      </c>
      <c r="S118" s="81" t="n">
        <f aca="false">S96+S105</f>
        <v>25.2131023622047</v>
      </c>
      <c r="T118" s="81" t="n">
        <f aca="false">T96+T105</f>
        <v>26.4139212598425</v>
      </c>
      <c r="U118" s="81" t="n">
        <f aca="false">U96+U105</f>
        <v>27.6147401574803</v>
      </c>
      <c r="V118" s="81" t="n">
        <f aca="false">V96+V105</f>
        <v>28.8155590551181</v>
      </c>
      <c r="W118" s="81" t="n">
        <f aca="false">W96+W105</f>
        <v>30.0163779527559</v>
      </c>
      <c r="X118" s="81" t="n">
        <f aca="false">X96+X105</f>
        <v>31.2171968503937</v>
      </c>
      <c r="Y118" s="81" t="n">
        <f aca="false">Y96+Y105</f>
        <v>32.4180157480315</v>
      </c>
      <c r="Z118" s="81" t="n">
        <f aca="false">Z96+Z105</f>
        <v>33.6188346456693</v>
      </c>
      <c r="AA118" s="81" t="n">
        <f aca="false">AA96+AA105</f>
        <v>34.8196535433071</v>
      </c>
    </row>
    <row r="119" customFormat="false" ht="15" hidden="false" customHeight="false" outlineLevel="0" collapsed="false">
      <c r="A119" s="16" t="n">
        <v>37</v>
      </c>
      <c r="B119" s="46" t="str">
        <f aca="false">'Stitch Library'!B42</f>
        <v>516 / 401 SafetyS Chain</v>
      </c>
      <c r="H119" s="81" t="n">
        <f aca="false">H96</f>
        <v>4.74803149606299</v>
      </c>
      <c r="I119" s="81" t="n">
        <f aca="false">I96</f>
        <v>4.89763779527559</v>
      </c>
      <c r="J119" s="81" t="n">
        <f aca="false">J96</f>
        <v>5.04724409448819</v>
      </c>
      <c r="K119" s="81" t="n">
        <f aca="false">K96</f>
        <v>5.19685039370079</v>
      </c>
      <c r="L119" s="81" t="n">
        <f aca="false">L96</f>
        <v>5.34645669291339</v>
      </c>
      <c r="M119" s="81" t="n">
        <f aca="false">M96</f>
        <v>5.49606299212598</v>
      </c>
      <c r="N119" s="81" t="n">
        <f aca="false">N96</f>
        <v>5.64566929133858</v>
      </c>
      <c r="O119" s="81" t="n">
        <f aca="false">O96</f>
        <v>5.79527559055118</v>
      </c>
      <c r="P119" s="81" t="n">
        <f aca="false">P96</f>
        <v>5.94488188976378</v>
      </c>
      <c r="Q119" s="81" t="n">
        <f aca="false">Q96</f>
        <v>6.09448818897638</v>
      </c>
      <c r="R119" s="81" t="n">
        <f aca="false">R96</f>
        <v>6.24409448818898</v>
      </c>
      <c r="S119" s="81" t="n">
        <f aca="false">S96</f>
        <v>6.39370078740158</v>
      </c>
      <c r="T119" s="81" t="n">
        <f aca="false">T96</f>
        <v>6.54330708661417</v>
      </c>
      <c r="U119" s="81" t="n">
        <f aca="false">U96</f>
        <v>6.69291338582677</v>
      </c>
      <c r="V119" s="81" t="n">
        <f aca="false">V96</f>
        <v>6.84251968503937</v>
      </c>
      <c r="W119" s="81" t="n">
        <f aca="false">W96</f>
        <v>6.99212598425197</v>
      </c>
      <c r="X119" s="81" t="n">
        <f aca="false">X96</f>
        <v>7.14173228346457</v>
      </c>
      <c r="Y119" s="81" t="n">
        <f aca="false">Y96</f>
        <v>7.29133858267717</v>
      </c>
      <c r="Z119" s="81" t="n">
        <f aca="false">Z96</f>
        <v>7.44094488188976</v>
      </c>
      <c r="AA119" s="81" t="n">
        <f aca="false">AA96</f>
        <v>7.59055118110236</v>
      </c>
    </row>
    <row r="120" customFormat="false" ht="15" hidden="false" customHeight="false" outlineLevel="0" collapsed="false">
      <c r="A120" s="16" t="n">
        <v>38</v>
      </c>
      <c r="B120" s="46" t="str">
        <f aca="false">'Stitch Library'!B43</f>
        <v>516 / 504 SafetyS Overedge</v>
      </c>
      <c r="H120" s="81" t="n">
        <f aca="false">H108</f>
        <v>10.256062992126</v>
      </c>
      <c r="I120" s="81" t="n">
        <f aca="false">I108</f>
        <v>11.3072755905512</v>
      </c>
      <c r="J120" s="81" t="n">
        <f aca="false">J108</f>
        <v>12.3584881889764</v>
      </c>
      <c r="K120" s="81" t="n">
        <f aca="false">K108</f>
        <v>13.4097007874016</v>
      </c>
      <c r="L120" s="81" t="n">
        <f aca="false">L108</f>
        <v>14.4609133858268</v>
      </c>
      <c r="M120" s="81" t="n">
        <f aca="false">M108</f>
        <v>15.512125984252</v>
      </c>
      <c r="N120" s="81" t="n">
        <f aca="false">N108</f>
        <v>16.5633385826772</v>
      </c>
      <c r="O120" s="81" t="n">
        <f aca="false">O108</f>
        <v>17.6145511811024</v>
      </c>
      <c r="P120" s="81" t="n">
        <f aca="false">P108</f>
        <v>18.6657637795276</v>
      </c>
      <c r="Q120" s="81" t="n">
        <f aca="false">Q108</f>
        <v>19.7169763779528</v>
      </c>
      <c r="R120" s="81" t="n">
        <f aca="false">R108</f>
        <v>20.768188976378</v>
      </c>
      <c r="S120" s="81" t="n">
        <f aca="false">S108</f>
        <v>21.8194015748032</v>
      </c>
      <c r="T120" s="81" t="n">
        <f aca="false">T108</f>
        <v>22.8706141732283</v>
      </c>
      <c r="U120" s="81" t="n">
        <f aca="false">U108</f>
        <v>23.9218267716535</v>
      </c>
      <c r="V120" s="81" t="n">
        <f aca="false">V108</f>
        <v>24.9730393700787</v>
      </c>
      <c r="W120" s="81" t="n">
        <f aca="false">W108</f>
        <v>26.0242519685039</v>
      </c>
      <c r="X120" s="81" t="n">
        <f aca="false">X108</f>
        <v>27.0754645669291</v>
      </c>
      <c r="Y120" s="81" t="n">
        <f aca="false">Y108</f>
        <v>28.1266771653543</v>
      </c>
      <c r="Z120" s="81" t="n">
        <f aca="false">Z108</f>
        <v>29.1778897637795</v>
      </c>
      <c r="AA120" s="81" t="n">
        <f aca="false">AA108</f>
        <v>30.2291023622047</v>
      </c>
    </row>
    <row r="121" customFormat="false" ht="15" hidden="false" customHeight="false" outlineLevel="0" collapsed="false">
      <c r="A121" s="16" t="n">
        <v>39</v>
      </c>
      <c r="B121" s="46" t="str">
        <f aca="false">'Stitch Library'!B44</f>
        <v>516 /Both Safetystitch</v>
      </c>
      <c r="H121" s="81" t="n">
        <f aca="false">H119+H120</f>
        <v>15.004094488189</v>
      </c>
      <c r="I121" s="81" t="n">
        <f aca="false">I119+I120</f>
        <v>16.2049133858268</v>
      </c>
      <c r="J121" s="81" t="n">
        <f aca="false">J119+J120</f>
        <v>17.4057322834646</v>
      </c>
      <c r="K121" s="81" t="n">
        <f aca="false">K119+K120</f>
        <v>18.6065511811024</v>
      </c>
      <c r="L121" s="81" t="n">
        <f aca="false">L119+L120</f>
        <v>19.8073700787402</v>
      </c>
      <c r="M121" s="81" t="n">
        <f aca="false">M119+M120</f>
        <v>21.008188976378</v>
      </c>
      <c r="N121" s="81" t="n">
        <f aca="false">N119+N120</f>
        <v>22.2090078740158</v>
      </c>
      <c r="O121" s="81" t="n">
        <f aca="false">O119+O120</f>
        <v>23.4098267716535</v>
      </c>
      <c r="P121" s="81" t="n">
        <f aca="false">P119+P120</f>
        <v>24.6106456692913</v>
      </c>
      <c r="Q121" s="81" t="n">
        <f aca="false">Q119+Q120</f>
        <v>25.8114645669291</v>
      </c>
      <c r="R121" s="81" t="n">
        <f aca="false">R119+R120</f>
        <v>27.0122834645669</v>
      </c>
      <c r="S121" s="81" t="n">
        <f aca="false">S119+S120</f>
        <v>28.2131023622047</v>
      </c>
      <c r="T121" s="81" t="n">
        <f aca="false">T119+T120</f>
        <v>29.4139212598425</v>
      </c>
      <c r="U121" s="81" t="n">
        <f aca="false">U119+U120</f>
        <v>30.6147401574803</v>
      </c>
      <c r="V121" s="81" t="n">
        <f aca="false">V119+V120</f>
        <v>31.8155590551181</v>
      </c>
      <c r="W121" s="81" t="n">
        <f aca="false">W119+W120</f>
        <v>33.0163779527559</v>
      </c>
      <c r="X121" s="81" t="n">
        <f aca="false">X119+X120</f>
        <v>34.2171968503937</v>
      </c>
      <c r="Y121" s="81" t="n">
        <f aca="false">Y119+Y120</f>
        <v>35.4180157480315</v>
      </c>
      <c r="Z121" s="81" t="n">
        <f aca="false">Z119+Z120</f>
        <v>36.6188346456693</v>
      </c>
      <c r="AA121" s="81" t="n">
        <f aca="false">AA119+AA120</f>
        <v>37.8196535433071</v>
      </c>
    </row>
    <row r="122" customFormat="false" ht="15" hidden="false" customHeight="false" outlineLevel="0" collapsed="false">
      <c r="A122" s="16" t="n">
        <v>40</v>
      </c>
      <c r="B122" s="46" t="str">
        <f aca="false">'Stitch Library'!B45</f>
        <v>517 / 301 SafetyS Lockstitch</v>
      </c>
      <c r="H122" s="81" t="n">
        <f aca="false">2+2*($C$81*H$82)</f>
        <v>2.74803149606299</v>
      </c>
      <c r="I122" s="81" t="n">
        <f aca="false">2+2*($C$81*I$82)</f>
        <v>2.89763779527559</v>
      </c>
      <c r="J122" s="81" t="n">
        <f aca="false">2+2*($C$81*J$82)</f>
        <v>3.04724409448819</v>
      </c>
      <c r="K122" s="81" t="n">
        <f aca="false">2+2*($C$81*K$82)</f>
        <v>3.19685039370079</v>
      </c>
      <c r="L122" s="81" t="n">
        <f aca="false">2+2*($C$81*L$82)</f>
        <v>3.34645669291339</v>
      </c>
      <c r="M122" s="81" t="n">
        <f aca="false">2+2*($C$81*M$82)</f>
        <v>3.49606299212598</v>
      </c>
      <c r="N122" s="81" t="n">
        <f aca="false">2+2*($C$81*N$82)</f>
        <v>3.64566929133858</v>
      </c>
      <c r="O122" s="81" t="n">
        <f aca="false">2+2*($C$81*O$82)</f>
        <v>3.79527559055118</v>
      </c>
      <c r="P122" s="81" t="n">
        <f aca="false">2+2*($C$81*P$82)</f>
        <v>3.94488188976378</v>
      </c>
      <c r="Q122" s="81" t="n">
        <f aca="false">2+2*($C$81*Q$82)</f>
        <v>4.09448818897638</v>
      </c>
      <c r="R122" s="81" t="n">
        <f aca="false">2+2*($C$81*R$82)</f>
        <v>4.24409448818898</v>
      </c>
      <c r="S122" s="81" t="n">
        <f aca="false">2+2*($C$81*S$82)</f>
        <v>4.39370078740158</v>
      </c>
      <c r="T122" s="81" t="n">
        <f aca="false">2+2*($C$81*T$82)</f>
        <v>4.54330708661417</v>
      </c>
      <c r="U122" s="81" t="n">
        <f aca="false">2+2*($C$81*U$82)</f>
        <v>4.69291338582677</v>
      </c>
      <c r="V122" s="81" t="n">
        <f aca="false">2+2*($C$81*V$82)</f>
        <v>4.84251968503937</v>
      </c>
      <c r="W122" s="81" t="n">
        <f aca="false">2+2*($C$81*W$82)</f>
        <v>4.99212598425197</v>
      </c>
      <c r="X122" s="81" t="n">
        <f aca="false">2+2*($C$81*X$82)</f>
        <v>5.14173228346457</v>
      </c>
      <c r="Y122" s="81" t="n">
        <f aca="false">2+2*($C$81*Y$82)</f>
        <v>5.29133858267717</v>
      </c>
      <c r="Z122" s="81" t="n">
        <f aca="false">2+2*($C$81*Z$82)</f>
        <v>5.44094488188976</v>
      </c>
      <c r="AA122" s="81" t="n">
        <f aca="false">2+2*($C$81*AA$82)</f>
        <v>5.59055118110236</v>
      </c>
    </row>
    <row r="123" customFormat="false" ht="15" hidden="false" customHeight="false" outlineLevel="0" collapsed="false">
      <c r="A123" s="16" t="n">
        <v>41</v>
      </c>
      <c r="B123" s="46" t="str">
        <f aca="false">'Stitch Library'!B46</f>
        <v>517 / 504 SafetyS Overedge</v>
      </c>
      <c r="H123" s="81" t="n">
        <f aca="false">4*(H$82*(0.188+$C$81))+5</f>
        <v>10.256062992126</v>
      </c>
      <c r="I123" s="81" t="n">
        <f aca="false">4*(I$82*(0.188+$C$81))+5</f>
        <v>11.3072755905512</v>
      </c>
      <c r="J123" s="81" t="n">
        <f aca="false">4*(J$82*(0.188+$C$81))+5</f>
        <v>12.3584881889764</v>
      </c>
      <c r="K123" s="81" t="n">
        <f aca="false">4*(K$82*(0.188+$C$81))+5</f>
        <v>13.4097007874016</v>
      </c>
      <c r="L123" s="81" t="n">
        <f aca="false">4*(L$82*(0.188+$C$81))+5</f>
        <v>14.4609133858268</v>
      </c>
      <c r="M123" s="81" t="n">
        <f aca="false">4*(M$82*(0.188+$C$81))+5</f>
        <v>15.512125984252</v>
      </c>
      <c r="N123" s="81" t="n">
        <f aca="false">4*(N$82*(0.188+$C$81))+5</f>
        <v>16.5633385826772</v>
      </c>
      <c r="O123" s="81" t="n">
        <f aca="false">4*(O$82*(0.188+$C$81))+5</f>
        <v>17.6145511811024</v>
      </c>
      <c r="P123" s="81" t="n">
        <f aca="false">4*(P$82*(0.188+$C$81))+5</f>
        <v>18.6657637795276</v>
      </c>
      <c r="Q123" s="81" t="n">
        <f aca="false">4*(Q$82*(0.188+$C$81))+5</f>
        <v>19.7169763779528</v>
      </c>
      <c r="R123" s="81" t="n">
        <f aca="false">4*(R$82*(0.188+$C$81))+5</f>
        <v>20.768188976378</v>
      </c>
      <c r="S123" s="81" t="n">
        <f aca="false">4*(S$82*(0.188+$C$81))+5</f>
        <v>21.8194015748032</v>
      </c>
      <c r="T123" s="81" t="n">
        <f aca="false">4*(T$82*(0.188+$C$81))+5</f>
        <v>22.8706141732283</v>
      </c>
      <c r="U123" s="81" t="n">
        <f aca="false">4*(U$82*(0.188+$C$81))+5</f>
        <v>23.9218267716535</v>
      </c>
      <c r="V123" s="81" t="n">
        <f aca="false">4*(V$82*(0.188+$C$81))+5</f>
        <v>24.9730393700787</v>
      </c>
      <c r="W123" s="81" t="n">
        <f aca="false">4*(W$82*(0.188+$C$81))+5</f>
        <v>26.0242519685039</v>
      </c>
      <c r="X123" s="81" t="n">
        <f aca="false">4*(X$82*(0.188+$C$81))+5</f>
        <v>27.0754645669291</v>
      </c>
      <c r="Y123" s="81" t="n">
        <f aca="false">4*(Y$82*(0.188+$C$81))+5</f>
        <v>28.1266771653543</v>
      </c>
      <c r="Z123" s="81" t="n">
        <f aca="false">4*(Z$82*(0.188+$C$81))+5</f>
        <v>29.1778897637795</v>
      </c>
      <c r="AA123" s="81" t="n">
        <f aca="false">4*(AA$82*(0.188+$C$81))+5</f>
        <v>30.2291023622047</v>
      </c>
    </row>
    <row r="124" customFormat="false" ht="15" hidden="false" customHeight="false" outlineLevel="0" collapsed="false">
      <c r="A124" s="16" t="n">
        <v>42</v>
      </c>
      <c r="B124" s="46" t="str">
        <f aca="false">'Stitch Library'!B47</f>
        <v>524 (3/16") / 401 &amp; 514 Stitch</v>
      </c>
      <c r="H124" s="81" t="n">
        <f aca="false">H96+H113</f>
        <v>15.752125984252</v>
      </c>
      <c r="I124" s="81" t="n">
        <f aca="false">I96+I113</f>
        <v>17.1025511811024</v>
      </c>
      <c r="J124" s="81" t="n">
        <f aca="false">J96+J113</f>
        <v>18.4529763779528</v>
      </c>
      <c r="K124" s="81" t="n">
        <f aca="false">K96+K113</f>
        <v>19.8034015748032</v>
      </c>
      <c r="L124" s="81" t="n">
        <f aca="false">L96+L113</f>
        <v>21.1538267716535</v>
      </c>
      <c r="M124" s="81" t="n">
        <f aca="false">M96+M113</f>
        <v>22.5042519685039</v>
      </c>
      <c r="N124" s="81" t="n">
        <f aca="false">N96+N113</f>
        <v>23.8546771653543</v>
      </c>
      <c r="O124" s="81" t="n">
        <f aca="false">O96+O113</f>
        <v>25.2051023622047</v>
      </c>
      <c r="P124" s="81" t="n">
        <f aca="false">P96+P113</f>
        <v>26.5555275590551</v>
      </c>
      <c r="Q124" s="81" t="n">
        <f aca="false">Q96+Q113</f>
        <v>27.9059527559055</v>
      </c>
      <c r="R124" s="81" t="n">
        <f aca="false">R96+R113</f>
        <v>29.2563779527559</v>
      </c>
      <c r="S124" s="81" t="n">
        <f aca="false">S96+S113</f>
        <v>30.6068031496063</v>
      </c>
      <c r="T124" s="81" t="n">
        <f aca="false">T96+T113</f>
        <v>31.9572283464567</v>
      </c>
      <c r="U124" s="81" t="n">
        <f aca="false">U96+U113</f>
        <v>33.3076535433071</v>
      </c>
      <c r="V124" s="81" t="n">
        <f aca="false">V96+V113</f>
        <v>34.6580787401575</v>
      </c>
      <c r="W124" s="81" t="n">
        <f aca="false">W96+W113</f>
        <v>36.0085039370079</v>
      </c>
      <c r="X124" s="81" t="n">
        <f aca="false">X96+X113</f>
        <v>37.3589291338583</v>
      </c>
      <c r="Y124" s="81" t="n">
        <f aca="false">Y96+Y113</f>
        <v>38.7093543307087</v>
      </c>
      <c r="Z124" s="81" t="n">
        <f aca="false">Z96+Z113</f>
        <v>40.0597795275591</v>
      </c>
      <c r="AA124" s="81" t="n">
        <f aca="false">AA96+AA113</f>
        <v>41.4102047244095</v>
      </c>
    </row>
    <row r="125" customFormat="false" ht="15" hidden="false" customHeight="false" outlineLevel="0" collapsed="false">
      <c r="A125" s="16" t="n">
        <v>43</v>
      </c>
      <c r="B125" s="46" t="str">
        <f aca="false">'Stitch Library'!B48</f>
        <v>524 (1/4") / 401 &amp; 514 Stitch</v>
      </c>
      <c r="H125" s="81" t="n">
        <f aca="false">H96+H114</f>
        <v>16.992125984252</v>
      </c>
      <c r="I125" s="81" t="n">
        <f aca="false">I96+I114</f>
        <v>18.5905511811024</v>
      </c>
      <c r="J125" s="81" t="n">
        <f aca="false">J96+J114</f>
        <v>20.1889763779528</v>
      </c>
      <c r="K125" s="81" t="n">
        <f aca="false">K96+K114</f>
        <v>21.7874015748031</v>
      </c>
      <c r="L125" s="81" t="n">
        <f aca="false">L96+L114</f>
        <v>23.3858267716535</v>
      </c>
      <c r="M125" s="81" t="n">
        <f aca="false">M96+M114</f>
        <v>24.9842519685039</v>
      </c>
      <c r="N125" s="81" t="n">
        <f aca="false">N96+N114</f>
        <v>26.5826771653543</v>
      </c>
      <c r="O125" s="81" t="n">
        <f aca="false">O96+O114</f>
        <v>28.1811023622047</v>
      </c>
      <c r="P125" s="81" t="n">
        <f aca="false">P96+P114</f>
        <v>29.7795275590551</v>
      </c>
      <c r="Q125" s="81" t="n">
        <f aca="false">Q96+Q114</f>
        <v>31.3779527559055</v>
      </c>
      <c r="R125" s="81" t="n">
        <f aca="false">R96+R114</f>
        <v>32.9763779527559</v>
      </c>
      <c r="S125" s="81" t="n">
        <f aca="false">S96+S114</f>
        <v>34.5748031496063</v>
      </c>
      <c r="T125" s="81" t="n">
        <f aca="false">T96+T114</f>
        <v>36.1732283464567</v>
      </c>
      <c r="U125" s="81" t="n">
        <f aca="false">U96+U114</f>
        <v>37.7716535433071</v>
      </c>
      <c r="V125" s="81" t="n">
        <f aca="false">V96+V114</f>
        <v>39.3700787401575</v>
      </c>
      <c r="W125" s="81" t="n">
        <f aca="false">W96+W114</f>
        <v>40.9685039370079</v>
      </c>
      <c r="X125" s="81" t="n">
        <f aca="false">X96+X114</f>
        <v>42.5669291338583</v>
      </c>
      <c r="Y125" s="81" t="n">
        <f aca="false">Y96+Y114</f>
        <v>44.1653543307087</v>
      </c>
      <c r="Z125" s="81" t="n">
        <f aca="false">Z96+Z114</f>
        <v>45.7637795275591</v>
      </c>
      <c r="AA125" s="81" t="n">
        <f aca="false">AA96+AA114</f>
        <v>47.3622047244095</v>
      </c>
    </row>
    <row r="126" customFormat="false" ht="15" hidden="false" customHeight="false" outlineLevel="0" collapsed="false">
      <c r="A126" s="16" t="n">
        <v>44</v>
      </c>
      <c r="B126" s="46" t="str">
        <f aca="false">'Stitch Library'!B49</f>
        <v>524 (5/16") / 401 &amp; 514 Stitch</v>
      </c>
      <c r="H126" s="81" t="n">
        <f aca="false">H96+H115</f>
        <v>18.252125984252</v>
      </c>
      <c r="I126" s="81" t="n">
        <f aca="false">I96+I115</f>
        <v>20.1025511811024</v>
      </c>
      <c r="J126" s="81" t="n">
        <f aca="false">J96+J115</f>
        <v>21.9529763779528</v>
      </c>
      <c r="K126" s="81" t="n">
        <f aca="false">K96+K115</f>
        <v>23.8034015748031</v>
      </c>
      <c r="L126" s="81" t="n">
        <f aca="false">L96+L115</f>
        <v>25.6538267716535</v>
      </c>
      <c r="M126" s="81" t="n">
        <f aca="false">M96+M115</f>
        <v>27.5042519685039</v>
      </c>
      <c r="N126" s="81" t="n">
        <f aca="false">N96+N115</f>
        <v>29.3546771653543</v>
      </c>
      <c r="O126" s="81" t="n">
        <f aca="false">O96+O115</f>
        <v>31.2051023622047</v>
      </c>
      <c r="P126" s="81" t="n">
        <f aca="false">P96+P115</f>
        <v>33.0555275590551</v>
      </c>
      <c r="Q126" s="81" t="n">
        <f aca="false">Q96+Q115</f>
        <v>34.9059527559055</v>
      </c>
      <c r="R126" s="81" t="n">
        <f aca="false">R96+R115</f>
        <v>36.7563779527559</v>
      </c>
      <c r="S126" s="81" t="n">
        <f aca="false">S96+S115</f>
        <v>38.6068031496063</v>
      </c>
      <c r="T126" s="81" t="n">
        <f aca="false">T96+T115</f>
        <v>40.4572283464567</v>
      </c>
      <c r="U126" s="81" t="n">
        <f aca="false">U96+U115</f>
        <v>42.3076535433071</v>
      </c>
      <c r="V126" s="81" t="n">
        <f aca="false">V96+V115</f>
        <v>44.1580787401575</v>
      </c>
      <c r="W126" s="81" t="n">
        <f aca="false">W96+W115</f>
        <v>46.0085039370079</v>
      </c>
      <c r="X126" s="81" t="n">
        <f aca="false">X96+X115</f>
        <v>47.8589291338583</v>
      </c>
      <c r="Y126" s="81" t="n">
        <f aca="false">Y96+Y115</f>
        <v>49.7093543307087</v>
      </c>
      <c r="Z126" s="81" t="n">
        <f aca="false">Z96+Z115</f>
        <v>51.5597795275591</v>
      </c>
      <c r="AA126" s="81" t="n">
        <f aca="false">AA96+AA115</f>
        <v>53.4102047244095</v>
      </c>
    </row>
    <row r="127" customFormat="false" ht="15" hidden="false" customHeight="false" outlineLevel="0" collapsed="false">
      <c r="A127" s="16" t="n">
        <v>45</v>
      </c>
      <c r="B127" s="46" t="str">
        <f aca="false">'Stitch Library'!B50</f>
        <v>602 1/8" 2 Ndl Coverstitch</v>
      </c>
      <c r="H127" s="81" t="n">
        <f aca="false">8+(H$82*(5*0.125)+(4*$C$81))</f>
        <v>11.4242125984252</v>
      </c>
      <c r="I127" s="81" t="n">
        <f aca="false">8+(I$82*(5*0.125)+(4*$C$81))</f>
        <v>12.0492125984252</v>
      </c>
      <c r="J127" s="81" t="n">
        <f aca="false">8+(J$82*(5*0.125)+(4*$C$81))</f>
        <v>12.6742125984252</v>
      </c>
      <c r="K127" s="81" t="n">
        <f aca="false">8+(K$82*(5*0.125)+(4*$C$81))</f>
        <v>13.2992125984252</v>
      </c>
      <c r="L127" s="81" t="n">
        <f aca="false">8+(L$82*(5*0.125)+(4*$C$81))</f>
        <v>13.9242125984252</v>
      </c>
      <c r="M127" s="81" t="n">
        <f aca="false">8+(M$82*(5*0.125)+(4*$C$81))</f>
        <v>14.5492125984252</v>
      </c>
      <c r="N127" s="81" t="n">
        <f aca="false">8+(N$82*(5*0.125)+(4*$C$81))</f>
        <v>15.1742125984252</v>
      </c>
      <c r="O127" s="81" t="n">
        <f aca="false">8+(O$82*(5*0.125)+(4*$C$81))</f>
        <v>15.7992125984252</v>
      </c>
      <c r="P127" s="81" t="n">
        <f aca="false">8+(P$82*(5*0.125)+(4*$C$81))</f>
        <v>16.4242125984252</v>
      </c>
      <c r="Q127" s="81" t="n">
        <f aca="false">8+(Q$82*(5*0.125)+(4*$C$81))</f>
        <v>17.0492125984252</v>
      </c>
      <c r="R127" s="81" t="n">
        <f aca="false">8+(R$82*(5*0.125)+(4*$C$81))</f>
        <v>17.6742125984252</v>
      </c>
      <c r="S127" s="81" t="n">
        <f aca="false">8+(S$82*(5*0.125)+(4*$C$81))</f>
        <v>18.2992125984252</v>
      </c>
      <c r="T127" s="81" t="n">
        <f aca="false">8+(T$82*(5*0.125)+(4*$C$81))</f>
        <v>18.9242125984252</v>
      </c>
      <c r="U127" s="81" t="n">
        <f aca="false">8+(U$82*(5*0.125)+(4*$C$81))</f>
        <v>19.5492125984252</v>
      </c>
      <c r="V127" s="81" t="n">
        <f aca="false">8+(V$82*(5*0.125)+(4*$C$81))</f>
        <v>20.1742125984252</v>
      </c>
      <c r="W127" s="81" t="n">
        <f aca="false">8+(W$82*(5*0.125)+(4*$C$81))</f>
        <v>20.7992125984252</v>
      </c>
      <c r="X127" s="81" t="n">
        <f aca="false">8+(X$82*(5*0.125)+(4*$C$81))</f>
        <v>21.4242125984252</v>
      </c>
      <c r="Y127" s="81" t="n">
        <f aca="false">8+(Y$82*(5*0.125)+(4*$C$81))</f>
        <v>22.0492125984252</v>
      </c>
      <c r="Z127" s="81" t="n">
        <f aca="false">8+(Z$82*(5*0.125)+(4*$C$81))</f>
        <v>22.6742125984252</v>
      </c>
      <c r="AA127" s="81" t="n">
        <f aca="false">8+(AA$82*(5*0.125)+(4*$C$81))</f>
        <v>23.2992125984252</v>
      </c>
    </row>
    <row r="128" customFormat="false" ht="15" hidden="false" customHeight="false" outlineLevel="0" collapsed="false">
      <c r="A128" s="16" t="n">
        <v>46</v>
      </c>
      <c r="B128" s="46" t="str">
        <f aca="false">'Stitch Library'!B51</f>
        <v>602 3/16"m 2 Ndl Coverstitch</v>
      </c>
      <c r="H128" s="81" t="n">
        <f aca="false">8+(H$82*(5*0.188)+(4*$C$81))</f>
        <v>12.9992125984252</v>
      </c>
      <c r="I128" s="81" t="n">
        <f aca="false">8+(I$82*(5*0.188)+(4*$C$81))</f>
        <v>13.9392125984252</v>
      </c>
      <c r="J128" s="81" t="n">
        <f aca="false">8+(J$82*(5*0.188)+(4*$C$81))</f>
        <v>14.8792125984252</v>
      </c>
      <c r="K128" s="81" t="n">
        <f aca="false">8+(K$82*(5*0.188)+(4*$C$81))</f>
        <v>15.8192125984252</v>
      </c>
      <c r="L128" s="81" t="n">
        <f aca="false">8+(L$82*(5*0.188)+(4*$C$81))</f>
        <v>16.7592125984252</v>
      </c>
      <c r="M128" s="81" t="n">
        <f aca="false">8+(M$82*(5*0.188)+(4*$C$81))</f>
        <v>17.6992125984252</v>
      </c>
      <c r="N128" s="81" t="n">
        <f aca="false">8+(N$82*(5*0.188)+(4*$C$81))</f>
        <v>18.6392125984252</v>
      </c>
      <c r="O128" s="81" t="n">
        <f aca="false">8+(O$82*(5*0.188)+(4*$C$81))</f>
        <v>19.5792125984252</v>
      </c>
      <c r="P128" s="81" t="n">
        <f aca="false">8+(P$82*(5*0.188)+(4*$C$81))</f>
        <v>20.5192125984252</v>
      </c>
      <c r="Q128" s="81" t="n">
        <f aca="false">8+(Q$82*(5*0.188)+(4*$C$81))</f>
        <v>21.4592125984252</v>
      </c>
      <c r="R128" s="81" t="n">
        <f aca="false">8+(R$82*(5*0.188)+(4*$C$81))</f>
        <v>22.3992125984252</v>
      </c>
      <c r="S128" s="81" t="n">
        <f aca="false">8+(S$82*(5*0.188)+(4*$C$81))</f>
        <v>23.3392125984252</v>
      </c>
      <c r="T128" s="81" t="n">
        <f aca="false">8+(T$82*(5*0.188)+(4*$C$81))</f>
        <v>24.2792125984252</v>
      </c>
      <c r="U128" s="81" t="n">
        <f aca="false">8+(U$82*(5*0.188)+(4*$C$81))</f>
        <v>25.2192125984252</v>
      </c>
      <c r="V128" s="81" t="n">
        <f aca="false">8+(V$82*(5*0.188)+(4*$C$81))</f>
        <v>26.1592125984252</v>
      </c>
      <c r="W128" s="81" t="n">
        <f aca="false">8+(W$82*(5*0.188)+(4*$C$81))</f>
        <v>27.0992125984252</v>
      </c>
      <c r="X128" s="81" t="n">
        <f aca="false">8+(X$82*(5*0.188)+(4*$C$81))</f>
        <v>28.0392125984252</v>
      </c>
      <c r="Y128" s="81" t="n">
        <f aca="false">8+(Y$82*(5*0.188)+(4*$C$81))</f>
        <v>28.9792125984252</v>
      </c>
      <c r="Z128" s="81" t="n">
        <f aca="false">8+(Z$82*(5*0.188)+(4*$C$81))</f>
        <v>29.9192125984252</v>
      </c>
      <c r="AA128" s="81" t="n">
        <f aca="false">8+(AA$82*(5*0.188)+(4*$C$81))</f>
        <v>30.8592125984252</v>
      </c>
    </row>
    <row r="129" customFormat="false" ht="15" hidden="false" customHeight="false" outlineLevel="0" collapsed="false">
      <c r="A129" s="16" t="n">
        <v>47</v>
      </c>
      <c r="B129" s="46" t="str">
        <f aca="false">'Stitch Library'!B52</f>
        <v>602 1/4" 2 Ndl Coverstitch</v>
      </c>
      <c r="H129" s="81" t="n">
        <f aca="false">8+(H$82*(5*0.25)+(4*$C$81))</f>
        <v>14.5492125984252</v>
      </c>
      <c r="I129" s="81" t="n">
        <f aca="false">8+(I$82*(5*0.25)+(4*$C$81))</f>
        <v>15.7992125984252</v>
      </c>
      <c r="J129" s="81" t="n">
        <f aca="false">8+(J$82*(5*0.25)+(4*$C$81))</f>
        <v>17.0492125984252</v>
      </c>
      <c r="K129" s="81" t="n">
        <f aca="false">8+(K$82*(5*0.25)+(4*$C$81))</f>
        <v>18.2992125984252</v>
      </c>
      <c r="L129" s="81" t="n">
        <f aca="false">8+(L$82*(5*0.25)+(4*$C$81))</f>
        <v>19.5492125984252</v>
      </c>
      <c r="M129" s="81" t="n">
        <f aca="false">8+(M$82*(5*0.25)+(4*$C$81))</f>
        <v>20.7992125984252</v>
      </c>
      <c r="N129" s="81" t="n">
        <f aca="false">8+(N$82*(5*0.25)+(4*$C$81))</f>
        <v>22.0492125984252</v>
      </c>
      <c r="O129" s="81" t="n">
        <f aca="false">8+(O$82*(5*0.25)+(4*$C$81))</f>
        <v>23.2992125984252</v>
      </c>
      <c r="P129" s="81" t="n">
        <f aca="false">8+(P$82*(5*0.25)+(4*$C$81))</f>
        <v>24.5492125984252</v>
      </c>
      <c r="Q129" s="81" t="n">
        <f aca="false">8+(Q$82*(5*0.25)+(4*$C$81))</f>
        <v>25.7992125984252</v>
      </c>
      <c r="R129" s="81" t="n">
        <f aca="false">8+(R$82*(5*0.25)+(4*$C$81))</f>
        <v>27.0492125984252</v>
      </c>
      <c r="S129" s="81" t="n">
        <f aca="false">8+(S$82*(5*0.25)+(4*$C$81))</f>
        <v>28.2992125984252</v>
      </c>
      <c r="T129" s="81" t="n">
        <f aca="false">8+(T$82*(5*0.25)+(4*$C$81))</f>
        <v>29.5492125984252</v>
      </c>
      <c r="U129" s="81" t="n">
        <f aca="false">8+(U$82*(5*0.25)+(4*$C$81))</f>
        <v>30.7992125984252</v>
      </c>
      <c r="V129" s="81" t="n">
        <f aca="false">8+(V$82*(5*0.25)+(4*$C$81))</f>
        <v>32.0492125984252</v>
      </c>
      <c r="W129" s="81" t="n">
        <f aca="false">8+(W$82*(5*0.25)+(4*$C$81))</f>
        <v>33.2992125984252</v>
      </c>
      <c r="X129" s="81" t="n">
        <f aca="false">8+(X$82*(5*0.25)+(4*$C$81))</f>
        <v>34.5492125984252</v>
      </c>
      <c r="Y129" s="81" t="n">
        <f aca="false">8+(Y$82*(5*0.25)+(4*$C$81))</f>
        <v>35.7992125984252</v>
      </c>
      <c r="Z129" s="81" t="n">
        <f aca="false">8+(Z$82*(5*0.25)+(4*$C$81))</f>
        <v>37.0492125984252</v>
      </c>
      <c r="AA129" s="81" t="n">
        <f aca="false">8+(AA$82*(5*0.25)+(4*$C$81))</f>
        <v>38.2992125984252</v>
      </c>
    </row>
    <row r="130" customFormat="false" ht="15" hidden="false" customHeight="false" outlineLevel="0" collapsed="false">
      <c r="A130" s="16" t="n">
        <v>48</v>
      </c>
      <c r="B130" s="46" t="str">
        <f aca="false">'Stitch Library'!B53</f>
        <v>605 3 Ndl Coverstitch</v>
      </c>
      <c r="H130" s="81" t="n">
        <f aca="false">10+(2*(H$82*((2*0.25)+(3*$C$81))))</f>
        <v>17.244094488189</v>
      </c>
      <c r="I130" s="81" t="n">
        <f aca="false">10+(2*(I$82*((2*0.25)+(3*$C$81))))</f>
        <v>18.6929133858268</v>
      </c>
      <c r="J130" s="81" t="n">
        <f aca="false">10+(2*(J$82*((2*0.25)+(3*$C$81))))</f>
        <v>20.1417322834646</v>
      </c>
      <c r="K130" s="81" t="n">
        <f aca="false">10+(2*(K$82*((2*0.25)+(3*$C$81))))</f>
        <v>21.5905511811024</v>
      </c>
      <c r="L130" s="81" t="n">
        <f aca="false">10+(2*(L$82*((2*0.25)+(3*$C$81))))</f>
        <v>23.0393700787402</v>
      </c>
      <c r="M130" s="81" t="n">
        <f aca="false">10+(2*(M$82*((2*0.25)+(3*$C$81))))</f>
        <v>24.488188976378</v>
      </c>
      <c r="N130" s="81" t="n">
        <f aca="false">10+(2*(N$82*((2*0.25)+(3*$C$81))))</f>
        <v>25.9370078740157</v>
      </c>
      <c r="O130" s="81" t="n">
        <f aca="false">10+(2*(O$82*((2*0.25)+(3*$C$81))))</f>
        <v>27.3858267716535</v>
      </c>
      <c r="P130" s="81" t="n">
        <f aca="false">10+(2*(P$82*((2*0.25)+(3*$C$81))))</f>
        <v>28.8346456692913</v>
      </c>
      <c r="Q130" s="81" t="n">
        <f aca="false">10+(2*(Q$82*((2*0.25)+(3*$C$81))))</f>
        <v>30.2834645669291</v>
      </c>
      <c r="R130" s="81" t="n">
        <f aca="false">10+(2*(R$82*((2*0.25)+(3*$C$81))))</f>
        <v>31.7322834645669</v>
      </c>
      <c r="S130" s="81" t="n">
        <f aca="false">10+(2*(S$82*((2*0.25)+(3*$C$81))))</f>
        <v>33.1811023622047</v>
      </c>
      <c r="T130" s="81" t="n">
        <f aca="false">10+(2*(T$82*((2*0.25)+(3*$C$81))))</f>
        <v>34.6299212598425</v>
      </c>
      <c r="U130" s="81" t="n">
        <f aca="false">10+(2*(U$82*((2*0.25)+(3*$C$81))))</f>
        <v>36.0787401574803</v>
      </c>
      <c r="V130" s="81" t="n">
        <f aca="false">10+(2*(V$82*((2*0.25)+(3*$C$81))))</f>
        <v>37.5275590551181</v>
      </c>
      <c r="W130" s="81" t="n">
        <f aca="false">10+(2*(W$82*((2*0.25)+(3*$C$81))))</f>
        <v>38.9763779527559</v>
      </c>
      <c r="X130" s="81" t="n">
        <f aca="false">10+(2*(X$82*((2*0.25)+(3*$C$81))))</f>
        <v>40.4251968503937</v>
      </c>
      <c r="Y130" s="81" t="n">
        <f aca="false">10+(2*(Y$82*((2*0.25)+(3*$C$81))))</f>
        <v>41.8740157480315</v>
      </c>
      <c r="Z130" s="81" t="n">
        <f aca="false">10+(2*(Z$82*((2*0.25)+(3*$C$81))))</f>
        <v>43.3228346456693</v>
      </c>
      <c r="AA130" s="81" t="n">
        <f aca="false">10+(2*(AA$82*((2*0.25)+(3*$C$81))))</f>
        <v>44.7716535433071</v>
      </c>
    </row>
    <row r="131" customFormat="false" ht="15" hidden="false" customHeight="false" outlineLevel="0" collapsed="false">
      <c r="A131" s="16" t="n">
        <v>49</v>
      </c>
      <c r="B131" s="46" t="str">
        <f aca="false">'Stitch Library'!B54</f>
        <v>607 4 Ndl Coverstitch</v>
      </c>
      <c r="H131" s="81" t="n">
        <f aca="false">12+4*H$82*((0.25)+(2*$C$81))</f>
        <v>19.992125984252</v>
      </c>
      <c r="I131" s="81" t="n">
        <f aca="false">12+4*I$82*((0.25)+(2*$C$81))</f>
        <v>21.5905511811024</v>
      </c>
      <c r="J131" s="81" t="n">
        <f aca="false">12+4*J$82*((0.25)+(2*$C$81))</f>
        <v>23.1889763779528</v>
      </c>
      <c r="K131" s="81" t="n">
        <f aca="false">12+4*K$82*((0.25)+(2*$C$81))</f>
        <v>24.7874015748031</v>
      </c>
      <c r="L131" s="81" t="n">
        <f aca="false">12+4*L$82*((0.25)+(2*$C$81))</f>
        <v>26.3858267716535</v>
      </c>
      <c r="M131" s="81" t="n">
        <f aca="false">12+4*M$82*((0.25)+(2*$C$81))</f>
        <v>27.9842519685039</v>
      </c>
      <c r="N131" s="81" t="n">
        <f aca="false">12+4*N$82*((0.25)+(2*$C$81))</f>
        <v>29.5826771653543</v>
      </c>
      <c r="O131" s="81" t="n">
        <f aca="false">12+4*O$82*((0.25)+(2*$C$81))</f>
        <v>31.1811023622047</v>
      </c>
      <c r="P131" s="81" t="n">
        <f aca="false">12+4*P$82*((0.25)+(2*$C$81))</f>
        <v>32.7795275590551</v>
      </c>
      <c r="Q131" s="81" t="n">
        <f aca="false">12+4*Q$82*((0.25)+(2*$C$81))</f>
        <v>34.3779527559055</v>
      </c>
      <c r="R131" s="81" t="n">
        <f aca="false">12+4*R$82*((0.25)+(2*$C$81))</f>
        <v>35.9763779527559</v>
      </c>
      <c r="S131" s="81" t="n">
        <f aca="false">12+4*S$82*((0.25)+(2*$C$81))</f>
        <v>37.5748031496063</v>
      </c>
      <c r="T131" s="81" t="n">
        <f aca="false">12+4*T$82*((0.25)+(2*$C$81))</f>
        <v>39.1732283464567</v>
      </c>
      <c r="U131" s="81" t="n">
        <f aca="false">12+4*U$82*((0.25)+(2*$C$81))</f>
        <v>40.7716535433071</v>
      </c>
      <c r="V131" s="81" t="n">
        <f aca="false">12+4*V$82*((0.25)+(2*$C$81))</f>
        <v>42.3700787401575</v>
      </c>
      <c r="W131" s="81" t="n">
        <f aca="false">12+4*W$82*((0.25)+(2*$C$81))</f>
        <v>43.9685039370079</v>
      </c>
      <c r="X131" s="81" t="n">
        <f aca="false">12+4*X$82*((0.25)+(2*$C$81))</f>
        <v>45.5669291338583</v>
      </c>
      <c r="Y131" s="81" t="n">
        <f aca="false">12+4*Y$82*((0.25)+(2*$C$81))</f>
        <v>47.1653543307087</v>
      </c>
      <c r="Z131" s="81" t="n">
        <f aca="false">12+4*Z$82*((0.25)+(2*$C$81))</f>
        <v>48.7637795275591</v>
      </c>
      <c r="AA131" s="81" t="n">
        <f aca="false">12+4*AA$82*((0.25)+(2*$C$81))</f>
        <v>50.3622047244095</v>
      </c>
    </row>
    <row r="132" customFormat="false" ht="15" hidden="false" customHeight="false" outlineLevel="0" collapsed="false">
      <c r="A132" s="16" t="n">
        <v>50</v>
      </c>
      <c r="B132" s="46" t="str">
        <f aca="false">'Stitch Library'!B55</f>
        <v>Bartack 3/8"</v>
      </c>
      <c r="D132" s="80" t="n">
        <v>14</v>
      </c>
    </row>
    <row r="133" customFormat="false" ht="15" hidden="false" customHeight="false" outlineLevel="0" collapsed="false">
      <c r="A133" s="16" t="n">
        <v>51</v>
      </c>
      <c r="B133" s="46" t="str">
        <f aca="false">'Stitch Library'!B56</f>
        <v>Bartack 1/2"</v>
      </c>
      <c r="D133" s="80" t="n">
        <v>19</v>
      </c>
    </row>
    <row r="134" customFormat="false" ht="15" hidden="false" customHeight="false" outlineLevel="0" collapsed="false">
      <c r="A134" s="16" t="n">
        <v>52</v>
      </c>
      <c r="B134" s="46" t="str">
        <f aca="false">'Stitch Library'!B57</f>
        <v>Bartack 3/4"</v>
      </c>
      <c r="D134" s="80" t="n">
        <v>24</v>
      </c>
    </row>
    <row r="135" customFormat="false" ht="15" hidden="false" customHeight="false" outlineLevel="0" collapsed="false">
      <c r="A135" s="16" t="n">
        <v>53</v>
      </c>
      <c r="B135" s="46" t="str">
        <f aca="false">'Stitch Library'!B58</f>
        <v>BS 2 hole</v>
      </c>
      <c r="D135" s="80" t="n">
        <v>10</v>
      </c>
    </row>
    <row r="136" customFormat="false" ht="15" hidden="false" customHeight="false" outlineLevel="0" collapsed="false">
      <c r="A136" s="16" t="n">
        <v>54</v>
      </c>
      <c r="B136" s="46" t="str">
        <f aca="false">'Stitch Library'!B59</f>
        <v>BS 4 hole</v>
      </c>
      <c r="D136" s="80" t="n">
        <v>14</v>
      </c>
    </row>
    <row r="137" customFormat="false" ht="15" hidden="false" customHeight="false" outlineLevel="0" collapsed="false">
      <c r="A137" s="16" t="n">
        <v>55</v>
      </c>
      <c r="B137" s="46" t="str">
        <f aca="false">'Stitch Library'!B60</f>
        <v>BH 5/8"</v>
      </c>
      <c r="D137" s="80" t="n">
        <v>25</v>
      </c>
    </row>
    <row r="138" customFormat="false" ht="15" hidden="false" customHeight="false" outlineLevel="0" collapsed="false">
      <c r="A138" s="16" t="n">
        <v>56</v>
      </c>
      <c r="B138" s="46" t="str">
        <f aca="false">'Stitch Library'!B61</f>
        <v>BH Gimp 5/8"</v>
      </c>
      <c r="D138" s="80" t="n">
        <v>4</v>
      </c>
    </row>
    <row r="139" customFormat="false" ht="15" hidden="false" customHeight="false" outlineLevel="0" collapsed="false">
      <c r="A139" s="16" t="n">
        <v>57</v>
      </c>
      <c r="B139" s="46" t="str">
        <f aca="false">'Stitch Library'!B62</f>
        <v>BH 3/4"</v>
      </c>
      <c r="D139" s="80" t="n">
        <v>30</v>
      </c>
    </row>
    <row r="140" customFormat="false" ht="15" hidden="false" customHeight="false" outlineLevel="0" collapsed="false">
      <c r="A140" s="16" t="n">
        <v>58</v>
      </c>
      <c r="B140" s="46" t="str">
        <f aca="false">'Stitch Library'!B63</f>
        <v>BH Gimp 3/4"</v>
      </c>
      <c r="D140" s="80" t="n">
        <v>5</v>
      </c>
    </row>
    <row r="141" customFormat="false" ht="15" hidden="false" customHeight="false" outlineLevel="0" collapsed="false">
      <c r="A141" s="16" t="n">
        <v>59</v>
      </c>
      <c r="B141" s="46" t="str">
        <f aca="false">'Stitch Library'!B64</f>
        <v>BH 1"</v>
      </c>
      <c r="D141" s="80" t="n">
        <v>39</v>
      </c>
    </row>
    <row r="142" customFormat="false" ht="15" hidden="false" customHeight="false" outlineLevel="0" collapsed="false">
      <c r="A142" s="16" t="n">
        <v>60</v>
      </c>
      <c r="B142" s="46" t="str">
        <f aca="false">'Stitch Library'!B65</f>
        <v>BH Gimp 1"</v>
      </c>
      <c r="D142" s="80" t="n">
        <v>8</v>
      </c>
    </row>
    <row r="143" customFormat="false" ht="15" hidden="false" customHeight="false" outlineLevel="0" collapsed="false">
      <c r="A143" s="16" t="n">
        <v>61</v>
      </c>
      <c r="B143" s="46" t="str">
        <f aca="false">'Stitch Library'!B66</f>
        <v>Embroidery = 350</v>
      </c>
      <c r="D143" s="80" t="n">
        <v>358</v>
      </c>
    </row>
    <row r="144" customFormat="false" ht="15" hidden="false" customHeight="false" outlineLevel="0" collapsed="false">
      <c r="A144" s="16" t="n">
        <v>62</v>
      </c>
      <c r="B144" s="46" t="str">
        <f aca="false">'Stitch Library'!B67</f>
        <v>Embroidery = 500</v>
      </c>
      <c r="D144" s="80" t="n">
        <v>437</v>
      </c>
    </row>
    <row r="145" customFormat="false" ht="15" hidden="false" customHeight="false" outlineLevel="0" collapsed="false">
      <c r="A145" s="16" t="n">
        <v>63</v>
      </c>
      <c r="B145" s="46" t="str">
        <f aca="false">'Stitch Library'!B68</f>
        <v>Embroidery = 1000</v>
      </c>
      <c r="D145" s="80" t="n">
        <v>700</v>
      </c>
    </row>
    <row r="146" customFormat="false" ht="15" hidden="false" customHeight="false" outlineLevel="0" collapsed="false">
      <c r="A146" s="16" t="n">
        <v>64</v>
      </c>
      <c r="B146" s="46" t="str">
        <f aca="false">'Stitch Library'!B69</f>
        <v>Embroidery = 1500</v>
      </c>
      <c r="D146" s="80" t="n">
        <v>964</v>
      </c>
    </row>
    <row r="147" customFormat="false" ht="15" hidden="false" customHeight="false" outlineLevel="0" collapsed="false">
      <c r="A147" s="16" t="n">
        <v>65</v>
      </c>
      <c r="B147" s="46" t="str">
        <f aca="false">'Stitch Library'!B70</f>
        <v>Embroidery = 2000</v>
      </c>
      <c r="D147" s="80" t="n">
        <v>1228</v>
      </c>
    </row>
    <row r="148" customFormat="false" ht="15" hidden="false" customHeight="false" outlineLevel="0" collapsed="false">
      <c r="A148" s="16" t="n">
        <v>66</v>
      </c>
      <c r="B148" s="46" t="str">
        <f aca="false">'Stitch Library'!B71</f>
        <v>Embroidery = 2500</v>
      </c>
      <c r="D148" s="80" t="n">
        <v>1492</v>
      </c>
    </row>
    <row r="149" customFormat="false" ht="15" hidden="false" customHeight="false" outlineLevel="0" collapsed="false">
      <c r="A149" s="16" t="n">
        <v>67</v>
      </c>
      <c r="B149" s="46" t="str">
        <f aca="false">'Stitch Library'!B72</f>
        <v>Embroidery = 3000</v>
      </c>
      <c r="D149" s="80" t="n">
        <v>1755</v>
      </c>
    </row>
    <row r="150" customFormat="false" ht="15" hidden="false" customHeight="false" outlineLevel="0" collapsed="false">
      <c r="A150" s="16" t="n">
        <v>68</v>
      </c>
      <c r="B150" s="46" t="str">
        <f aca="false">'Stitch Library'!B73</f>
        <v>Cap Eyelet Stitch (5/16")</v>
      </c>
      <c r="D150" s="80" t="n">
        <v>90</v>
      </c>
    </row>
    <row r="154" customFormat="false" ht="15" hidden="false" customHeight="false" outlineLevel="0" collapsed="false">
      <c r="A154" s="79" t="s">
        <v>314</v>
      </c>
    </row>
    <row r="155" customFormat="false" ht="15" hidden="false" customHeight="false" outlineLevel="0" collapsed="false">
      <c r="B155" s="10" t="s">
        <v>310</v>
      </c>
      <c r="C155" s="72" t="n">
        <f aca="false">Setup!$C$16</f>
        <v>2.9</v>
      </c>
    </row>
    <row r="156" customFormat="false" ht="15" hidden="false" customHeight="false" outlineLevel="0" collapsed="false">
      <c r="B156" s="10" t="s">
        <v>311</v>
      </c>
      <c r="C156" s="18" t="n">
        <f aca="false">C155/25.4</f>
        <v>0.114173228346457</v>
      </c>
    </row>
    <row r="157" customFormat="false" ht="15" hidden="false" customHeight="false" outlineLevel="0" collapsed="false">
      <c r="A157" s="13" t="s">
        <v>174</v>
      </c>
      <c r="B157" s="13" t="s">
        <v>312</v>
      </c>
      <c r="C157" s="13"/>
      <c r="D157" s="13" t="n">
        <v>1</v>
      </c>
      <c r="E157" s="13" t="n">
        <v>2</v>
      </c>
      <c r="F157" s="13" t="n">
        <v>3</v>
      </c>
      <c r="G157" s="13" t="n">
        <v>4</v>
      </c>
      <c r="H157" s="13" t="n">
        <v>5</v>
      </c>
      <c r="I157" s="13" t="n">
        <v>6</v>
      </c>
      <c r="J157" s="13" t="n">
        <v>7</v>
      </c>
      <c r="K157" s="13" t="n">
        <v>8</v>
      </c>
      <c r="L157" s="13" t="n">
        <v>9</v>
      </c>
      <c r="M157" s="13" t="n">
        <v>10</v>
      </c>
      <c r="N157" s="13" t="n">
        <v>11</v>
      </c>
      <c r="O157" s="13" t="n">
        <v>12</v>
      </c>
      <c r="P157" s="13" t="n">
        <v>13</v>
      </c>
      <c r="Q157" s="13" t="n">
        <v>14</v>
      </c>
      <c r="R157" s="13" t="n">
        <v>15</v>
      </c>
      <c r="S157" s="13" t="n">
        <v>16</v>
      </c>
      <c r="T157" s="13" t="n">
        <v>17</v>
      </c>
      <c r="U157" s="13" t="n">
        <v>18</v>
      </c>
      <c r="V157" s="13" t="n">
        <v>19</v>
      </c>
      <c r="W157" s="13" t="n">
        <v>20</v>
      </c>
      <c r="X157" s="13" t="n">
        <v>21</v>
      </c>
      <c r="Y157" s="13" t="n">
        <v>22</v>
      </c>
      <c r="Z157" s="13" t="n">
        <v>23</v>
      </c>
      <c r="AA157" s="13" t="n">
        <v>24</v>
      </c>
    </row>
    <row r="158" customFormat="false" ht="15" hidden="false" customHeight="false" outlineLevel="0" collapsed="false">
      <c r="A158" s="16" t="n">
        <v>1</v>
      </c>
      <c r="B158" s="46" t="str">
        <f aca="false">'Stitch Library'!B6</f>
        <v>103 Blindstitch</v>
      </c>
      <c r="F158" s="80" t="n">
        <v>3.42</v>
      </c>
      <c r="G158" s="80" t="n">
        <v>3.56</v>
      </c>
      <c r="H158" s="80" t="n">
        <v>3.7</v>
      </c>
      <c r="I158" s="80" t="n">
        <v>3.84</v>
      </c>
      <c r="J158" s="80" t="n">
        <v>3.98</v>
      </c>
      <c r="K158" s="80" t="n">
        <v>4.12</v>
      </c>
      <c r="L158" s="80" t="n">
        <v>4.26</v>
      </c>
      <c r="M158" s="80" t="n">
        <v>4.4</v>
      </c>
    </row>
    <row r="159" customFormat="false" ht="15" hidden="false" customHeight="false" outlineLevel="0" collapsed="false">
      <c r="A159" s="16" t="n">
        <v>2</v>
      </c>
      <c r="B159" s="46" t="str">
        <f aca="false">'Stitch Library'!B7</f>
        <v>108 (1.2mm) Saddlestitch</v>
      </c>
      <c r="E159" s="81" t="n">
        <f aca="false">E$157*((4*$C$156)+(2*0.048)+(3*(1/E$157)))</f>
        <v>4.10538582677165</v>
      </c>
      <c r="F159" s="81" t="n">
        <f aca="false">F$157*((4*$C$156)+(2*0.048)+(3*(1/F$157)))</f>
        <v>4.65807874015748</v>
      </c>
      <c r="G159" s="81" t="n">
        <f aca="false">G$157*((4*$C$156)+(2*0.048)+(3*(1/G$157)))</f>
        <v>5.21077165354331</v>
      </c>
      <c r="H159" s="81" t="n">
        <f aca="false">H$157*((4*$C$156)+(2*0.048)+(3*(1/H$157)))</f>
        <v>5.76346456692914</v>
      </c>
      <c r="I159" s="81" t="n">
        <f aca="false">I$157*((4*$C$156)+(2*0.048)+(3*(1/I$157)))</f>
        <v>6.31615748031496</v>
      </c>
      <c r="J159" s="81" t="n">
        <f aca="false">J$157*((4*$C$156)+(2*0.048)+(3*(1/J$157)))</f>
        <v>6.86885039370079</v>
      </c>
      <c r="K159" s="81" t="n">
        <f aca="false">K$157*((4*$C$156)+(2*0.048)+(3*(1/K$157)))</f>
        <v>7.42154330708662</v>
      </c>
      <c r="L159" s="81" t="n">
        <f aca="false">L$157*((4*$C$156)+(2*0.048)+(3*(1/L$157)))</f>
        <v>7.97423622047244</v>
      </c>
      <c r="M159" s="81" t="n">
        <f aca="false">M$157*((4*$C$156)+(2*0.048)+(3*(1/M$157)))</f>
        <v>8.52692913385827</v>
      </c>
    </row>
    <row r="160" customFormat="false" ht="15" hidden="false" customHeight="false" outlineLevel="0" collapsed="false">
      <c r="A160" s="16" t="n">
        <v>3</v>
      </c>
      <c r="B160" s="46" t="str">
        <f aca="false">'Stitch Library'!B8</f>
        <v>108 (3mm) Saddlestitch</v>
      </c>
      <c r="E160" s="81" t="n">
        <f aca="false">E$157*((4*$C$156)+(2*0.12)+(3*(1/E$157)))</f>
        <v>4.39338582677165</v>
      </c>
      <c r="F160" s="81" t="n">
        <f aca="false">F$157*((4*$C$156)+(2*0.12)+(3*(1/F$157)))</f>
        <v>5.09007874015748</v>
      </c>
      <c r="G160" s="81" t="n">
        <f aca="false">G$157*((4*$C$156)+(2*0.12)+(3*(1/G$157)))</f>
        <v>5.78677165354331</v>
      </c>
      <c r="H160" s="81" t="n">
        <f aca="false">H$157*((4*$C$156)+(2*0.12)+(3*(1/H$157)))</f>
        <v>6.48346456692913</v>
      </c>
      <c r="I160" s="81" t="n">
        <f aca="false">I$157*((4*$C$156)+(2*0.12)+(3*(1/I$157)))</f>
        <v>7.18015748031496</v>
      </c>
      <c r="J160" s="81" t="n">
        <f aca="false">J$157*((4*$C$156)+(2*0.12)+(3*(1/J$157)))</f>
        <v>7.87685039370079</v>
      </c>
      <c r="K160" s="81" t="n">
        <f aca="false">K$157*((4*$C$156)+(2*0.12)+(3*(1/K$157)))</f>
        <v>8.57354330708662</v>
      </c>
      <c r="L160" s="81" t="n">
        <f aca="false">L$157*((4*$C$156)+(2*0.12)+(3*(1/L$157)))</f>
        <v>9.27023622047244</v>
      </c>
      <c r="M160" s="81" t="n">
        <f aca="false">M$157*((4*$C$156)+(2*0.12)+(3*(1/M$157)))</f>
        <v>9.96692913385827</v>
      </c>
    </row>
    <row r="161" customFormat="false" ht="15" hidden="false" customHeight="false" outlineLevel="0" collapsed="false">
      <c r="A161" s="16" t="n">
        <v>4</v>
      </c>
      <c r="B161" s="46" t="str">
        <f aca="false">'Stitch Library'!B9</f>
        <v>108 (5mm) Saddlestitch</v>
      </c>
      <c r="E161" s="81" t="n">
        <f aca="false">E$157*((4*$C$156)+(2*0.2)+(3*(1/E$157)))</f>
        <v>4.71338582677165</v>
      </c>
      <c r="F161" s="81" t="n">
        <f aca="false">F$157*((4*$C$156)+(2*0.2)+(3*(1/F$157)))</f>
        <v>5.57007874015748</v>
      </c>
      <c r="G161" s="81" t="n">
        <f aca="false">G$157*((4*$C$156)+(2*0.2)+(3*(1/G$157)))</f>
        <v>6.42677165354331</v>
      </c>
      <c r="H161" s="81" t="n">
        <f aca="false">H$157*((4*$C$156)+(2*0.2)+(3*(1/H$157)))</f>
        <v>7.28346456692913</v>
      </c>
      <c r="I161" s="81" t="n">
        <f aca="false">I$157*((4*$C$156)+(2*0.2)+(3*(1/I$157)))</f>
        <v>8.14015748031496</v>
      </c>
      <c r="J161" s="81" t="n">
        <f aca="false">J$157*((4*$C$156)+(2*0.2)+(3*(1/J$157)))</f>
        <v>8.99685039370079</v>
      </c>
      <c r="K161" s="81" t="n">
        <f aca="false">K$157*((4*$C$156)+(2*0.2)+(3*(1/K$157)))</f>
        <v>9.85354330708661</v>
      </c>
      <c r="L161" s="81" t="n">
        <f aca="false">L$157*((4*$C$156)+(2*0.2)+(3*(1/L$157)))</f>
        <v>10.7102362204724</v>
      </c>
      <c r="M161" s="81" t="n">
        <f aca="false">M$157*((4*$C$156)+(2*0.2)+(3*(1/M$157)))</f>
        <v>11.5669291338583</v>
      </c>
    </row>
    <row r="162" customFormat="false" ht="15" hidden="false" customHeight="false" outlineLevel="0" collapsed="false">
      <c r="A162" s="16" t="n">
        <v>5</v>
      </c>
      <c r="B162" s="46" t="str">
        <f aca="false">'Stitch Library'!B10</f>
        <v>201 Saddle Stitch</v>
      </c>
      <c r="H162" s="81" t="n">
        <f aca="false">1+1*($C$156*H$157)</f>
        <v>1.57086614173228</v>
      </c>
      <c r="I162" s="81" t="n">
        <f aca="false">1+1*($C$156*I$157)</f>
        <v>1.68503937007874</v>
      </c>
      <c r="J162" s="81" t="n">
        <f aca="false">1+1*($C$156*J$157)</f>
        <v>1.7992125984252</v>
      </c>
      <c r="K162" s="81" t="n">
        <f aca="false">1+1*($C$156*K$157)</f>
        <v>1.91338582677165</v>
      </c>
      <c r="L162" s="81" t="n">
        <f aca="false">1+1*($C$156*L$157)</f>
        <v>2.02755905511811</v>
      </c>
      <c r="M162" s="81" t="n">
        <f aca="false">1+1*($C$156*M$157)</f>
        <v>2.14173228346457</v>
      </c>
      <c r="N162" s="81" t="n">
        <f aca="false">1+1*($C$156*N$157)</f>
        <v>2.25590551181102</v>
      </c>
      <c r="O162" s="81" t="n">
        <f aca="false">1+1*($C$156*O$157)</f>
        <v>2.37007874015748</v>
      </c>
      <c r="P162" s="81" t="n">
        <f aca="false">1+1*($C$156*P$157)</f>
        <v>2.48425196850394</v>
      </c>
      <c r="Q162" s="81" t="n">
        <f aca="false">1+1*($C$156*Q$157)</f>
        <v>2.59842519685039</v>
      </c>
      <c r="R162" s="81" t="n">
        <f aca="false">1+1*($C$156*R$157)</f>
        <v>2.71259842519685</v>
      </c>
      <c r="S162" s="81" t="n">
        <f aca="false">1+1*($C$156*S$157)</f>
        <v>2.82677165354331</v>
      </c>
      <c r="T162" s="81" t="n">
        <f aca="false">1+1*($C$156*T$157)</f>
        <v>2.94094488188976</v>
      </c>
      <c r="U162" s="81" t="n">
        <f aca="false">1+1*($C$156*U$157)</f>
        <v>3.05511811023622</v>
      </c>
      <c r="V162" s="81" t="n">
        <f aca="false">1+1*($C$156*V$157)</f>
        <v>3.16929133858268</v>
      </c>
      <c r="W162" s="81" t="n">
        <f aca="false">1+1*($C$156*W$157)</f>
        <v>3.28346456692913</v>
      </c>
      <c r="X162" s="81" t="n">
        <f aca="false">1+1*($C$156*X$157)</f>
        <v>3.39763779527559</v>
      </c>
      <c r="Y162" s="81" t="n">
        <f aca="false">1+1*($C$156*Y$157)</f>
        <v>3.51181102362205</v>
      </c>
      <c r="Z162" s="81" t="n">
        <f aca="false">1+1*($C$156*Z$157)</f>
        <v>3.6259842519685</v>
      </c>
      <c r="AA162" s="81" t="n">
        <f aca="false">1+1*($C$156*AA$157)</f>
        <v>3.74015748031496</v>
      </c>
    </row>
    <row r="163" customFormat="false" ht="15" hidden="false" customHeight="false" outlineLevel="0" collapsed="false">
      <c r="A163" s="16" t="n">
        <v>6</v>
      </c>
      <c r="B163" s="46" t="str">
        <f aca="false">'Stitch Library'!B11</f>
        <v>101 Single Needle Chain</v>
      </c>
      <c r="F163" s="81" t="n">
        <f aca="false">3+2*($C$156*F$157)</f>
        <v>3.68503937007874</v>
      </c>
      <c r="G163" s="81" t="n">
        <f aca="false">3+2*($C$156*G$157)</f>
        <v>3.91338582677165</v>
      </c>
      <c r="H163" s="81" t="n">
        <f aca="false">3+2*($C$156*H$157)</f>
        <v>4.14173228346457</v>
      </c>
      <c r="I163" s="81" t="n">
        <f aca="false">3+2*($C$156*I$157)</f>
        <v>4.37007874015748</v>
      </c>
      <c r="J163" s="81" t="n">
        <f aca="false">3+2*($C$156*J$157)</f>
        <v>4.59842519685039</v>
      </c>
      <c r="K163" s="81" t="n">
        <f aca="false">3+2*($C$156*K$157)</f>
        <v>4.82677165354331</v>
      </c>
      <c r="L163" s="81" t="n">
        <f aca="false">3+2*($C$156*L$157)</f>
        <v>5.05511811023622</v>
      </c>
      <c r="M163" s="81" t="n">
        <f aca="false">3+2*($C$156*M$157)</f>
        <v>5.28346456692913</v>
      </c>
      <c r="N163" s="81" t="n">
        <f aca="false">3+2*($C$156*N$157)</f>
        <v>5.51181102362205</v>
      </c>
      <c r="O163" s="81" t="n">
        <f aca="false">3+2*($C$156*O$157)</f>
        <v>5.74015748031496</v>
      </c>
      <c r="P163" s="81" t="n">
        <f aca="false">3+2*($C$156*P$157)</f>
        <v>5.96850393700787</v>
      </c>
      <c r="Q163" s="81" t="n">
        <f aca="false">3+2*($C$156*Q$157)</f>
        <v>6.19685039370079</v>
      </c>
      <c r="R163" s="81" t="n">
        <f aca="false">3+2*($C$156*R$157)</f>
        <v>6.4251968503937</v>
      </c>
      <c r="S163" s="81" t="n">
        <f aca="false">3+2*($C$156*S$157)</f>
        <v>6.65354330708662</v>
      </c>
      <c r="T163" s="81" t="n">
        <f aca="false">3+2*($C$156*T$157)</f>
        <v>6.88188976377953</v>
      </c>
      <c r="U163" s="81" t="n">
        <f aca="false">3+2*($C$156*U$157)</f>
        <v>7.11023622047244</v>
      </c>
      <c r="V163" s="81" t="n">
        <f aca="false">3+2*($C$156*V$157)</f>
        <v>7.33858267716536</v>
      </c>
      <c r="W163" s="81" t="n">
        <f aca="false">3+2*($C$156*W$157)</f>
        <v>7.56692913385827</v>
      </c>
      <c r="X163" s="81" t="n">
        <f aca="false">3+2*($C$156*X$157)</f>
        <v>7.79527559055118</v>
      </c>
      <c r="Y163" s="81" t="n">
        <f aca="false">3+2*($C$156*Y$157)</f>
        <v>8.02362204724409</v>
      </c>
      <c r="Z163" s="81" t="n">
        <f aca="false">3+2*($C$156*Z$157)</f>
        <v>8.25196850393701</v>
      </c>
      <c r="AA163" s="81" t="n">
        <f aca="false">3+2*($C$156*AA$157)</f>
        <v>8.48031496062992</v>
      </c>
    </row>
    <row r="164" customFormat="false" ht="15" hidden="false" customHeight="false" outlineLevel="0" collapsed="false">
      <c r="A164" s="16" t="n">
        <v>7</v>
      </c>
      <c r="B164" s="46" t="str">
        <f aca="false">'Stitch Library'!B12</f>
        <v>301 Lockstitch</v>
      </c>
      <c r="E164" s="80" t="n">
        <v>2.75</v>
      </c>
      <c r="F164" s="80" t="n">
        <v>2.88</v>
      </c>
      <c r="G164" s="80" t="n">
        <v>3.01</v>
      </c>
      <c r="H164" s="81" t="n">
        <f aca="false">2+2*($C$156*H$157)</f>
        <v>3.14173228346457</v>
      </c>
      <c r="I164" s="81" t="n">
        <f aca="false">2+2*($C$156*I$157)</f>
        <v>3.37007874015748</v>
      </c>
      <c r="J164" s="81" t="n">
        <f aca="false">2+2*($C$156*J$157)</f>
        <v>3.59842519685039</v>
      </c>
      <c r="K164" s="81" t="n">
        <f aca="false">2+2*($C$156*K$157)</f>
        <v>3.82677165354331</v>
      </c>
      <c r="L164" s="81" t="n">
        <f aca="false">2+2*($C$156*L$157)</f>
        <v>4.05511811023622</v>
      </c>
      <c r="M164" s="81" t="n">
        <f aca="false">2+2*($C$156*M$157)</f>
        <v>4.28346456692913</v>
      </c>
      <c r="N164" s="81" t="n">
        <f aca="false">2+2*($C$156*N$157)</f>
        <v>4.51181102362205</v>
      </c>
      <c r="O164" s="81" t="n">
        <f aca="false">2+2*($C$156*O$157)</f>
        <v>4.74015748031496</v>
      </c>
      <c r="P164" s="81" t="n">
        <f aca="false">2+2*($C$156*P$157)</f>
        <v>4.96850393700787</v>
      </c>
      <c r="Q164" s="81" t="n">
        <f aca="false">2+2*($C$156*Q$157)</f>
        <v>5.19685039370079</v>
      </c>
      <c r="R164" s="81" t="n">
        <f aca="false">2+2*($C$156*R$157)</f>
        <v>5.4251968503937</v>
      </c>
      <c r="S164" s="81" t="n">
        <f aca="false">2+2*($C$156*S$157)</f>
        <v>5.65354330708662</v>
      </c>
      <c r="T164" s="81" t="n">
        <f aca="false">2+2*($C$156*T$157)</f>
        <v>5.88188976377953</v>
      </c>
      <c r="U164" s="81" t="n">
        <f aca="false">2+2*($C$156*U$157)</f>
        <v>6.11023622047244</v>
      </c>
      <c r="V164" s="81" t="n">
        <f aca="false">2+2*($C$156*V$157)</f>
        <v>6.33858267716536</v>
      </c>
      <c r="W164" s="81" t="n">
        <f aca="false">2+2*($C$156*W$157)</f>
        <v>6.56692913385827</v>
      </c>
      <c r="X164" s="81" t="n">
        <f aca="false">2+2*($C$156*X$157)</f>
        <v>6.79527559055118</v>
      </c>
      <c r="Y164" s="81" t="n">
        <f aca="false">2+2*($C$156*Y$157)</f>
        <v>7.02362204724409</v>
      </c>
      <c r="Z164" s="81" t="n">
        <f aca="false">2+2*($C$156*Z$157)</f>
        <v>7.25196850393701</v>
      </c>
      <c r="AA164" s="81" t="n">
        <f aca="false">2+2*($C$156*AA$157)</f>
        <v>7.48031496062992</v>
      </c>
    </row>
    <row r="165" customFormat="false" ht="15" hidden="false" customHeight="false" outlineLevel="0" collapsed="false">
      <c r="A165" s="16" t="n">
        <v>8</v>
      </c>
      <c r="B165" s="46" t="str">
        <f aca="false">'Stitch Library'!B13</f>
        <v>304 1/8" ZigZag</v>
      </c>
      <c r="H165" s="81" t="n">
        <f aca="false">2*H$157*(SQRT((0.125*0.125)+($C$156*$C$156))+$C$156)</f>
        <v>2.83467428102539</v>
      </c>
      <c r="I165" s="81" t="n">
        <f aca="false">2*I$157*(SQRT((0.125*0.125)+($C$156*$C$156))+$C$156)</f>
        <v>3.40160913723046</v>
      </c>
      <c r="J165" s="81" t="n">
        <f aca="false">2*J$157*(SQRT((0.125*0.125)+($C$156*$C$156))+$C$156)</f>
        <v>3.96854399343554</v>
      </c>
      <c r="K165" s="81" t="n">
        <f aca="false">2*K$157*(SQRT((0.125*0.125)+($C$156*$C$156))+$C$156)</f>
        <v>4.53547884964062</v>
      </c>
      <c r="L165" s="81" t="n">
        <f aca="false">2*L$157*(SQRT((0.125*0.125)+($C$156*$C$156))+$C$156)</f>
        <v>5.10241370584569</v>
      </c>
      <c r="M165" s="81" t="n">
        <f aca="false">2*M$157*(SQRT((0.125*0.125)+($C$156*$C$156))+$C$156)</f>
        <v>5.66934856205077</v>
      </c>
      <c r="N165" s="81" t="n">
        <f aca="false">2*N$157*(SQRT((0.125*0.125)+($C$156*$C$156))+$C$156)</f>
        <v>6.23628341825585</v>
      </c>
      <c r="O165" s="81" t="n">
        <f aca="false">2*O$157*(SQRT((0.125*0.125)+($C$156*$C$156))+$C$156)</f>
        <v>6.80321827446093</v>
      </c>
      <c r="P165" s="81" t="n">
        <f aca="false">2*P$157*(SQRT((0.125*0.125)+($C$156*$C$156))+$C$156)</f>
        <v>7.370153130666</v>
      </c>
      <c r="Q165" s="81" t="n">
        <f aca="false">2*Q$157*(SQRT((0.125*0.125)+($C$156*$C$156))+$C$156)</f>
        <v>7.93708798687108</v>
      </c>
      <c r="R165" s="81" t="n">
        <f aca="false">2*R$157*(SQRT((0.125*0.125)+($C$156*$C$156))+$C$156)</f>
        <v>8.50402284307616</v>
      </c>
      <c r="S165" s="81" t="n">
        <f aca="false">2*S$157*(SQRT((0.125*0.125)+($C$156*$C$156))+$C$156)</f>
        <v>9.07095769928123</v>
      </c>
      <c r="T165" s="81" t="n">
        <f aca="false">2*T$157*(SQRT((0.125*0.125)+($C$156*$C$156))+$C$156)</f>
        <v>9.63789255548631</v>
      </c>
      <c r="U165" s="81" t="n">
        <f aca="false">2*U$157*(SQRT((0.125*0.125)+($C$156*$C$156))+$C$156)</f>
        <v>10.2048274116914</v>
      </c>
      <c r="V165" s="81" t="n">
        <f aca="false">2*V$157*(SQRT((0.125*0.125)+($C$156*$C$156))+$C$156)</f>
        <v>10.7717622678965</v>
      </c>
      <c r="W165" s="81" t="n">
        <f aca="false">2*W$157*(SQRT((0.125*0.125)+($C$156*$C$156))+$C$156)</f>
        <v>11.3386971241015</v>
      </c>
      <c r="X165" s="81" t="n">
        <f aca="false">2*X$157*(SQRT((0.125*0.125)+($C$156*$C$156))+$C$156)</f>
        <v>11.9056319803066</v>
      </c>
      <c r="Y165" s="81" t="n">
        <f aca="false">2*Y$157*(SQRT((0.125*0.125)+($C$156*$C$156))+$C$156)</f>
        <v>12.4725668365117</v>
      </c>
      <c r="Z165" s="81" t="n">
        <f aca="false">2*Z$157*(SQRT((0.125*0.125)+($C$156*$C$156))+$C$156)</f>
        <v>13.0395016927168</v>
      </c>
      <c r="AA165" s="81" t="n">
        <f aca="false">2*AA$157*(SQRT((0.125*0.125)+($C$156*$C$156))+$C$156)</f>
        <v>13.6064365489219</v>
      </c>
    </row>
    <row r="166" customFormat="false" ht="15" hidden="false" customHeight="false" outlineLevel="0" collapsed="false">
      <c r="A166" s="16" t="n">
        <v>9</v>
      </c>
      <c r="B166" s="46" t="str">
        <f aca="false">'Stitch Library'!B14</f>
        <v>304 3/16"m ZigZag</v>
      </c>
      <c r="H166" s="81" t="n">
        <f aca="false">2*H$157*(SQRT((0.188*0.188)+($C$156*$C$156))+$C$156)</f>
        <v>3.34126691767818</v>
      </c>
      <c r="I166" s="81" t="n">
        <f aca="false">2*I$157*(SQRT((0.188*0.188)+($C$156*$C$156))+$C$156)</f>
        <v>4.00952030121382</v>
      </c>
      <c r="J166" s="81" t="n">
        <f aca="false">2*J$157*(SQRT((0.188*0.188)+($C$156*$C$156))+$C$156)</f>
        <v>4.67777368474945</v>
      </c>
      <c r="K166" s="81" t="n">
        <f aca="false">2*K$157*(SQRT((0.188*0.188)+($C$156*$C$156))+$C$156)</f>
        <v>5.34602706828509</v>
      </c>
      <c r="L166" s="81" t="n">
        <f aca="false">2*L$157*(SQRT((0.188*0.188)+($C$156*$C$156))+$C$156)</f>
        <v>6.01428045182073</v>
      </c>
      <c r="M166" s="81" t="n">
        <f aca="false">2*M$157*(SQRT((0.188*0.188)+($C$156*$C$156))+$C$156)</f>
        <v>6.68253383535636</v>
      </c>
      <c r="N166" s="81" t="n">
        <f aca="false">2*N$157*(SQRT((0.188*0.188)+($C$156*$C$156))+$C$156)</f>
        <v>7.350787218892</v>
      </c>
      <c r="O166" s="81" t="n">
        <f aca="false">2*O$157*(SQRT((0.188*0.188)+($C$156*$C$156))+$C$156)</f>
        <v>8.01904060242763</v>
      </c>
      <c r="P166" s="81" t="n">
        <f aca="false">2*P$157*(SQRT((0.188*0.188)+($C$156*$C$156))+$C$156)</f>
        <v>8.68729398596327</v>
      </c>
      <c r="Q166" s="81" t="n">
        <f aca="false">2*Q$157*(SQRT((0.188*0.188)+($C$156*$C$156))+$C$156)</f>
        <v>9.35554736949891</v>
      </c>
      <c r="R166" s="81" t="n">
        <f aca="false">2*R$157*(SQRT((0.188*0.188)+($C$156*$C$156))+$C$156)</f>
        <v>10.0238007530345</v>
      </c>
      <c r="S166" s="81" t="n">
        <f aca="false">2*S$157*(SQRT((0.188*0.188)+($C$156*$C$156))+$C$156)</f>
        <v>10.6920541365702</v>
      </c>
      <c r="T166" s="81" t="n">
        <f aca="false">2*T$157*(SQRT((0.188*0.188)+($C$156*$C$156))+$C$156)</f>
        <v>11.3603075201058</v>
      </c>
      <c r="U166" s="81" t="n">
        <f aca="false">2*U$157*(SQRT((0.188*0.188)+($C$156*$C$156))+$C$156)</f>
        <v>12.0285609036415</v>
      </c>
      <c r="V166" s="81" t="n">
        <f aca="false">2*V$157*(SQRT((0.188*0.188)+($C$156*$C$156))+$C$156)</f>
        <v>12.6968142871771</v>
      </c>
      <c r="W166" s="81" t="n">
        <f aca="false">2*W$157*(SQRT((0.188*0.188)+($C$156*$C$156))+$C$156)</f>
        <v>13.3650676707127</v>
      </c>
      <c r="X166" s="81" t="n">
        <f aca="false">2*X$157*(SQRT((0.188*0.188)+($C$156*$C$156))+$C$156)</f>
        <v>14.0333210542484</v>
      </c>
      <c r="Y166" s="81" t="n">
        <f aca="false">2*Y$157*(SQRT((0.188*0.188)+($C$156*$C$156))+$C$156)</f>
        <v>14.701574437784</v>
      </c>
      <c r="Z166" s="81" t="n">
        <f aca="false">2*Z$157*(SQRT((0.188*0.188)+($C$156*$C$156))+$C$156)</f>
        <v>15.3698278213196</v>
      </c>
      <c r="AA166" s="81" t="n">
        <f aca="false">2*AA$157*(SQRT((0.188*0.188)+($C$156*$C$156))+$C$156)</f>
        <v>16.0380812048553</v>
      </c>
    </row>
    <row r="167" customFormat="false" ht="15" hidden="false" customHeight="false" outlineLevel="0" collapsed="false">
      <c r="A167" s="16" t="n">
        <v>10</v>
      </c>
      <c r="B167" s="46" t="str">
        <f aca="false">'Stitch Library'!B15</f>
        <v>304 1/4" ZigZag</v>
      </c>
      <c r="H167" s="81" t="n">
        <f aca="false">2*H$157*(SQRT((0.25*0.25)+($C$156*$C$156))+$C$156)</f>
        <v>3.89010500329447</v>
      </c>
      <c r="I167" s="81" t="n">
        <f aca="false">2*I$157*(SQRT((0.25*0.25)+($C$156*$C$156))+$C$156)</f>
        <v>4.66812600395336</v>
      </c>
      <c r="J167" s="81" t="n">
        <f aca="false">2*J$157*(SQRT((0.25*0.25)+($C$156*$C$156))+$C$156)</f>
        <v>5.44614700461226</v>
      </c>
      <c r="K167" s="81" t="n">
        <f aca="false">2*K$157*(SQRT((0.25*0.25)+($C$156*$C$156))+$C$156)</f>
        <v>6.22416800527115</v>
      </c>
      <c r="L167" s="81" t="n">
        <f aca="false">2*L$157*(SQRT((0.25*0.25)+($C$156*$C$156))+$C$156)</f>
        <v>7.00218900593005</v>
      </c>
      <c r="M167" s="81" t="n">
        <f aca="false">2*M$157*(SQRT((0.25*0.25)+($C$156*$C$156))+$C$156)</f>
        <v>7.78021000658894</v>
      </c>
      <c r="N167" s="81" t="n">
        <f aca="false">2*N$157*(SQRT((0.25*0.25)+($C$156*$C$156))+$C$156)</f>
        <v>8.55823100724783</v>
      </c>
      <c r="O167" s="81" t="n">
        <f aca="false">2*O$157*(SQRT((0.25*0.25)+($C$156*$C$156))+$C$156)</f>
        <v>9.33625200790673</v>
      </c>
      <c r="P167" s="81" t="n">
        <f aca="false">2*P$157*(SQRT((0.25*0.25)+($C$156*$C$156))+$C$156)</f>
        <v>10.1142730085656</v>
      </c>
      <c r="Q167" s="81" t="n">
        <f aca="false">2*Q$157*(SQRT((0.25*0.25)+($C$156*$C$156))+$C$156)</f>
        <v>10.8922940092245</v>
      </c>
      <c r="R167" s="81" t="n">
        <f aca="false">2*R$157*(SQRT((0.25*0.25)+($C$156*$C$156))+$C$156)</f>
        <v>11.6703150098834</v>
      </c>
      <c r="S167" s="81" t="n">
        <f aca="false">2*S$157*(SQRT((0.25*0.25)+($C$156*$C$156))+$C$156)</f>
        <v>12.4483360105423</v>
      </c>
      <c r="T167" s="81" t="n">
        <f aca="false">2*T$157*(SQRT((0.25*0.25)+($C$156*$C$156))+$C$156)</f>
        <v>13.2263570112012</v>
      </c>
      <c r="U167" s="81" t="n">
        <f aca="false">2*U$157*(SQRT((0.25*0.25)+($C$156*$C$156))+$C$156)</f>
        <v>14.0043780118601</v>
      </c>
      <c r="V167" s="81" t="n">
        <f aca="false">2*V$157*(SQRT((0.25*0.25)+($C$156*$C$156))+$C$156)</f>
        <v>14.782399012519</v>
      </c>
      <c r="W167" s="81" t="n">
        <f aca="false">2*W$157*(SQRT((0.25*0.25)+($C$156*$C$156))+$C$156)</f>
        <v>15.5604200131779</v>
      </c>
      <c r="X167" s="81" t="n">
        <f aca="false">2*X$157*(SQRT((0.25*0.25)+($C$156*$C$156))+$C$156)</f>
        <v>16.3384410138368</v>
      </c>
      <c r="Y167" s="81" t="n">
        <f aca="false">2*Y$157*(SQRT((0.25*0.25)+($C$156*$C$156))+$C$156)</f>
        <v>17.1164620144957</v>
      </c>
      <c r="Z167" s="81" t="n">
        <f aca="false">2*Z$157*(SQRT((0.25*0.25)+($C$156*$C$156))+$C$156)</f>
        <v>17.8944830151546</v>
      </c>
      <c r="AA167" s="81" t="n">
        <f aca="false">2*AA$157*(SQRT((0.25*0.25)+($C$156*$C$156))+$C$156)</f>
        <v>18.6725040158135</v>
      </c>
    </row>
    <row r="168" customFormat="false" ht="15" hidden="false" customHeight="false" outlineLevel="0" collapsed="false">
      <c r="A168" s="16" t="n">
        <v>11</v>
      </c>
      <c r="B168" s="46" t="str">
        <f aca="false">'Stitch Library'!B16</f>
        <v>308 (2) Step Zig Zag</v>
      </c>
      <c r="F168" s="81" t="n">
        <f aca="false">2*F$157*(SQRT((0.188*0.188)+($C$156*$C$156))+(3*$C$156))</f>
        <v>3.37483889076439</v>
      </c>
      <c r="G168" s="81" t="n">
        <f aca="false">2*G$157*(SQRT((0.188*0.188)+($C$156*$C$156))+(3*$C$156))</f>
        <v>4.49978518768585</v>
      </c>
      <c r="H168" s="81" t="n">
        <f aca="false">2*H$157*(SQRT((0.188*0.188)+($C$156*$C$156))+(3*$C$156))</f>
        <v>5.62473148460732</v>
      </c>
      <c r="I168" s="81" t="n">
        <f aca="false">2*I$157*(SQRT((0.188*0.188)+($C$156*$C$156))+(3*$C$156))</f>
        <v>6.74967778152878</v>
      </c>
      <c r="J168" s="81" t="n">
        <f aca="false">2*J$157*(SQRT((0.188*0.188)+($C$156*$C$156))+(3*$C$156))</f>
        <v>7.87462407845024</v>
      </c>
      <c r="K168" s="81" t="n">
        <f aca="false">2*K$157*(SQRT((0.188*0.188)+($C$156*$C$156))+(3*$C$156))</f>
        <v>8.9995703753717</v>
      </c>
      <c r="L168" s="81" t="n">
        <f aca="false">2*L$157*(SQRT((0.188*0.188)+($C$156*$C$156))+(3*$C$156))</f>
        <v>10.1245166722932</v>
      </c>
      <c r="M168" s="81" t="n">
        <f aca="false">2*M$157*(SQRT((0.188*0.188)+($C$156*$C$156))+(3*$C$156))</f>
        <v>11.2494629692146</v>
      </c>
    </row>
    <row r="169" customFormat="false" ht="15" hidden="false" customHeight="false" outlineLevel="0" collapsed="false">
      <c r="A169" s="16" t="n">
        <v>12</v>
      </c>
      <c r="B169" s="46" t="str">
        <f aca="false">'Stitch Library'!B17</f>
        <v>315 (3) Step Zig Zag</v>
      </c>
      <c r="F169" s="81" t="n">
        <f aca="false">2*F$157*(SQRT((0.25*0.25)+($C$156*$C$156))+(4*$C$156))</f>
        <v>4.3891811122129</v>
      </c>
      <c r="G169" s="81" t="n">
        <f aca="false">2*G$157*(SQRT((0.25*0.25)+($C$156*$C$156))+(4*$C$156))</f>
        <v>5.85224148295054</v>
      </c>
      <c r="H169" s="81" t="n">
        <f aca="false">2*H$157*(SQRT((0.25*0.25)+($C$156*$C$156))+(4*$C$156))</f>
        <v>7.31530185368817</v>
      </c>
      <c r="I169" s="81" t="n">
        <f aca="false">2*I$157*(SQRT((0.25*0.25)+($C$156*$C$156))+(4*$C$156))</f>
        <v>8.7783622244258</v>
      </c>
      <c r="J169" s="81" t="n">
        <f aca="false">2*J$157*(SQRT((0.25*0.25)+($C$156*$C$156))+(4*$C$156))</f>
        <v>10.2414225951634</v>
      </c>
      <c r="K169" s="81" t="n">
        <f aca="false">2*K$157*(SQRT((0.25*0.25)+($C$156*$C$156))+(4*$C$156))</f>
        <v>11.7044829659011</v>
      </c>
      <c r="L169" s="81" t="n">
        <f aca="false">2*L$157*(SQRT((0.25*0.25)+($C$156*$C$156))+(4*$C$156))</f>
        <v>13.1675433366387</v>
      </c>
      <c r="M169" s="81" t="n">
        <f aca="false">2*M$157*(SQRT((0.25*0.25)+($C$156*$C$156))+(4*$C$156))</f>
        <v>14.6306037073763</v>
      </c>
    </row>
    <row r="170" customFormat="false" ht="15" hidden="false" customHeight="false" outlineLevel="0" collapsed="false">
      <c r="A170" s="16" t="n">
        <v>13</v>
      </c>
      <c r="B170" s="46" t="str">
        <f aca="false">'Stitch Library'!B18</f>
        <v>322 (4) Step Zig Zag</v>
      </c>
      <c r="F170" s="81" t="n">
        <f aca="false">2*F$157*(SQRT((0.25*0.25)+($C$156*$C$156))+(5*$C$156))</f>
        <v>5.07422048229164</v>
      </c>
      <c r="G170" s="81" t="n">
        <f aca="false">2*G$157*(SQRT((0.25*0.25)+($C$156*$C$156))+(5*$C$156))</f>
        <v>6.76562730972219</v>
      </c>
      <c r="H170" s="81" t="n">
        <f aca="false">2*H$157*(SQRT((0.25*0.25)+($C$156*$C$156))+(5*$C$156))</f>
        <v>8.45703413715274</v>
      </c>
      <c r="I170" s="81" t="n">
        <f aca="false">2*I$157*(SQRT((0.25*0.25)+($C$156*$C$156))+(5*$C$156))</f>
        <v>10.1484409645833</v>
      </c>
      <c r="J170" s="81" t="n">
        <f aca="false">2*J$157*(SQRT((0.25*0.25)+($C$156*$C$156))+(5*$C$156))</f>
        <v>11.8398477920138</v>
      </c>
      <c r="K170" s="81" t="n">
        <f aca="false">2*K$157*(SQRT((0.25*0.25)+($C$156*$C$156))+(5*$C$156))</f>
        <v>13.5312546194444</v>
      </c>
      <c r="L170" s="81" t="n">
        <f aca="false">2*L$157*(SQRT((0.25*0.25)+($C$156*$C$156))+(5*$C$156))</f>
        <v>15.2226614468749</v>
      </c>
      <c r="M170" s="81" t="n">
        <f aca="false">2*M$157*(SQRT((0.25*0.25)+($C$156*$C$156))+(5*$C$156))</f>
        <v>16.9140682743055</v>
      </c>
    </row>
    <row r="171" customFormat="false" ht="15" hidden="false" customHeight="false" outlineLevel="0" collapsed="false">
      <c r="A171" s="16" t="n">
        <v>14</v>
      </c>
      <c r="B171" s="46" t="str">
        <f aca="false">'Stitch Library'!B19</f>
        <v>401 Chainstitch</v>
      </c>
      <c r="H171" s="81" t="n">
        <f aca="false">4+2*($C$156*H$157)</f>
        <v>5.14173228346457</v>
      </c>
      <c r="I171" s="81" t="n">
        <f aca="false">4+2*($C$156*I$157)</f>
        <v>5.37007874015748</v>
      </c>
      <c r="J171" s="81" t="n">
        <f aca="false">4+2*($C$156*J$157)</f>
        <v>5.59842519685039</v>
      </c>
      <c r="K171" s="81" t="n">
        <f aca="false">4+2*($C$156*K$157)</f>
        <v>5.82677165354331</v>
      </c>
      <c r="L171" s="81" t="n">
        <f aca="false">4+2*($C$156*L$157)</f>
        <v>6.05511811023622</v>
      </c>
      <c r="M171" s="81" t="n">
        <f aca="false">4+2*($C$156*M$157)</f>
        <v>6.28346456692913</v>
      </c>
      <c r="N171" s="81" t="n">
        <f aca="false">4+2*($C$156*N$157)</f>
        <v>6.51181102362205</v>
      </c>
      <c r="O171" s="81" t="n">
        <f aca="false">4+2*($C$156*O$157)</f>
        <v>6.74015748031496</v>
      </c>
      <c r="P171" s="81" t="n">
        <f aca="false">4+2*($C$156*P$157)</f>
        <v>6.96850393700787</v>
      </c>
      <c r="Q171" s="81" t="n">
        <f aca="false">4+2*($C$156*Q$157)</f>
        <v>7.19685039370079</v>
      </c>
      <c r="R171" s="81" t="n">
        <f aca="false">4+2*($C$156*R$157)</f>
        <v>7.4251968503937</v>
      </c>
      <c r="S171" s="81" t="n">
        <f aca="false">4+2*($C$156*S$157)</f>
        <v>7.65354330708662</v>
      </c>
      <c r="T171" s="81" t="n">
        <f aca="false">4+2*($C$156*T$157)</f>
        <v>7.88188976377953</v>
      </c>
      <c r="U171" s="81" t="n">
        <f aca="false">4+2*($C$156*U$157)</f>
        <v>8.11023622047244</v>
      </c>
      <c r="V171" s="81" t="n">
        <f aca="false">4+2*($C$156*V$157)</f>
        <v>8.33858267716536</v>
      </c>
      <c r="W171" s="81" t="n">
        <f aca="false">4+2*($C$156*W$157)</f>
        <v>8.56692913385827</v>
      </c>
      <c r="X171" s="81" t="n">
        <f aca="false">4+2*($C$156*X$157)</f>
        <v>8.79527559055118</v>
      </c>
      <c r="Y171" s="81" t="n">
        <f aca="false">4+2*($C$156*Y$157)</f>
        <v>9.02362204724409</v>
      </c>
      <c r="Z171" s="81" t="n">
        <f aca="false">4+2*($C$156*Z$157)</f>
        <v>9.25196850393701</v>
      </c>
      <c r="AA171" s="81" t="n">
        <f aca="false">4+2*($C$156*AA$157)</f>
        <v>9.48031496062992</v>
      </c>
    </row>
    <row r="172" customFormat="false" ht="15" hidden="false" customHeight="false" outlineLevel="0" collapsed="false">
      <c r="A172" s="16" t="n">
        <v>15</v>
      </c>
      <c r="B172" s="46" t="str">
        <f aca="false">'Stitch Library'!B20</f>
        <v>404 ZigZag Chain</v>
      </c>
      <c r="H172" s="81" t="n">
        <f aca="false">2*H$157*(2*(SQRT((0.125*0.125)+((1/H$157)*(1/H$157)))+$C$156))</f>
        <v>7.00045513295744</v>
      </c>
      <c r="I172" s="81" t="n">
        <f aca="false">2*I$157*(2*(SQRT((0.125*0.125)+((1/I$157)*(1/I$157)))+$C$156))</f>
        <v>7.74015748031496</v>
      </c>
      <c r="J172" s="81" t="n">
        <f aca="false">2*J$157*(2*(SQRT((0.125*0.125)+((1/J$157)*(1/J$157)))+$C$156))</f>
        <v>8.51192330006811</v>
      </c>
      <c r="K172" s="81" t="n">
        <f aca="false">2*K$157*(2*(SQRT((0.125*0.125)+((1/K$157)*(1/K$157)))+$C$156))</f>
        <v>9.31039755657899</v>
      </c>
      <c r="L172" s="81" t="n">
        <f aca="false">2*L$157*(2*(SQRT((0.125*0.125)+((1/L$157)*(1/L$157)))+$C$156))</f>
        <v>10.1310335098686</v>
      </c>
      <c r="M172" s="81" t="n">
        <f aca="false">2*M$157*(2*(SQRT((0.125*0.125)+((1/M$157)*(1/M$157)))+$C$156))</f>
        <v>10.9700533712911</v>
      </c>
      <c r="N172" s="81" t="n">
        <f aca="false">2*N$157*(2*(SQRT((0.125*0.125)+((1/N$157)*(1/N$157)))+$C$156))</f>
        <v>11.8243573016118</v>
      </c>
      <c r="O172" s="81" t="n">
        <f aca="false">2*O$157*(2*(SQRT((0.125*0.125)+((1/O$157)*(1/O$157)))+$C$156))</f>
        <v>12.6914175115579</v>
      </c>
      <c r="P172" s="81" t="n">
        <f aca="false">2*P$157*(2*(SQRT((0.125*0.125)+((1/P$157)*(1/P$157)))+$C$156))</f>
        <v>13.5691766352526</v>
      </c>
      <c r="Q172" s="81" t="n">
        <f aca="false">2*Q$157*(2*(SQRT((0.125*0.125)+((1/Q$157)*(1/Q$157)))+$C$156))</f>
        <v>14.4559585357001</v>
      </c>
      <c r="R172" s="81" t="n">
        <f aca="false">2*R$157*(2*(SQRT((0.125*0.125)+((1/R$157)*(1/R$157)))+$C$156))</f>
        <v>15.3503937007874</v>
      </c>
      <c r="S172" s="81" t="n">
        <f aca="false">2*S$157*(2*(SQRT((0.125*0.125)+((1/S$157)*(1/S$157)))+$C$156))</f>
        <v>16.2513585241724</v>
      </c>
      <c r="T172" s="81" t="n">
        <f aca="false">2*T$157*(2*(SQRT((0.125*0.125)+((1/T$157)*(1/T$157)))+$C$156))</f>
        <v>17.157926641587</v>
      </c>
      <c r="U172" s="81" t="n">
        <f aca="false">2*U$157*(2*(SQRT((0.125*0.125)+((1/U$157)*(1/U$157)))+$C$156))</f>
        <v>18.069330242741</v>
      </c>
      <c r="V172" s="81" t="n">
        <f aca="false">2*V$157*(2*(SQRT((0.125*0.125)+((1/V$157)*(1/V$157)))+$C$156))</f>
        <v>18.9849294183749</v>
      </c>
      <c r="W172" s="81" t="n">
        <f aca="false">2*W$157*(2*(SQRT((0.125*0.125)+((1/W$157)*(1/W$157)))+$C$156))</f>
        <v>19.9041878819855</v>
      </c>
      <c r="X172" s="81" t="n">
        <f aca="false">2*X$157*(2*(SQRT((0.125*0.125)+((1/X$157)*(1/X$157)))+$C$156))</f>
        <v>20.8266537082245</v>
      </c>
      <c r="Y172" s="81" t="n">
        <f aca="false">2*Y$157*(2*(SQRT((0.125*0.125)+((1/Y$157)*(1/Y$157)))+$C$156))</f>
        <v>21.7519440052078</v>
      </c>
      <c r="Z172" s="81" t="n">
        <f aca="false">2*Z$157*(2*(SQRT((0.125*0.125)+((1/Z$157)*(1/Z$157)))+$C$156))</f>
        <v>22.6797326697599</v>
      </c>
      <c r="AA172" s="81" t="n">
        <f aca="false">2*AA$157*(2*(SQRT((0.125*0.125)+((1/AA$157)*(1/AA$157)))+$C$156))</f>
        <v>23.6097405619334</v>
      </c>
    </row>
    <row r="173" customFormat="false" ht="15" hidden="false" customHeight="false" outlineLevel="0" collapsed="false">
      <c r="A173" s="16" t="n">
        <v>16</v>
      </c>
      <c r="B173" s="46" t="str">
        <f aca="false">'Stitch Library'!B21</f>
        <v>406 1/8"m Btm Cover</v>
      </c>
      <c r="H173" s="81" t="n">
        <f aca="false">7+(2*H$157*(2*$C$156+0.125))</f>
        <v>10.5334645669291</v>
      </c>
      <c r="I173" s="81" t="n">
        <f aca="false">7+(2*I$157*(2*$C$156+0.125))</f>
        <v>11.240157480315</v>
      </c>
      <c r="J173" s="81" t="n">
        <f aca="false">7+(2*J$157*(2*$C$156+0.125))</f>
        <v>11.9468503937008</v>
      </c>
      <c r="K173" s="81" t="n">
        <f aca="false">7+(2*K$157*(2*$C$156+0.125))</f>
        <v>12.6535433070866</v>
      </c>
      <c r="L173" s="81" t="n">
        <f aca="false">7+(2*L$157*(2*$C$156+0.125))</f>
        <v>13.3602362204724</v>
      </c>
      <c r="M173" s="81" t="n">
        <f aca="false">7+(2*M$157*(2*$C$156+0.125))</f>
        <v>14.0669291338583</v>
      </c>
      <c r="N173" s="81" t="n">
        <f aca="false">7+(2*N$157*(2*$C$156+0.125))</f>
        <v>14.7736220472441</v>
      </c>
      <c r="O173" s="81" t="n">
        <f aca="false">7+(2*O$157*(2*$C$156+0.125))</f>
        <v>15.4803149606299</v>
      </c>
      <c r="P173" s="81" t="n">
        <f aca="false">7+(2*P$157*(2*$C$156+0.125))</f>
        <v>16.1870078740157</v>
      </c>
      <c r="Q173" s="81" t="n">
        <f aca="false">7+(2*Q$157*(2*$C$156+0.125))</f>
        <v>16.8937007874016</v>
      </c>
      <c r="R173" s="81" t="n">
        <f aca="false">7+(2*R$157*(2*$C$156+0.125))</f>
        <v>17.6003937007874</v>
      </c>
      <c r="S173" s="81" t="n">
        <f aca="false">7+(2*S$157*(2*$C$156+0.125))</f>
        <v>18.3070866141732</v>
      </c>
      <c r="T173" s="81" t="n">
        <f aca="false">7+(2*T$157*(2*$C$156+0.125))</f>
        <v>19.0137795275591</v>
      </c>
      <c r="U173" s="81" t="n">
        <f aca="false">7+(2*U$157*(2*$C$156+0.125))</f>
        <v>19.7204724409449</v>
      </c>
      <c r="V173" s="81" t="n">
        <f aca="false">7+(2*V$157*(2*$C$156+0.125))</f>
        <v>20.4271653543307</v>
      </c>
      <c r="W173" s="81" t="n">
        <f aca="false">7+(2*W$157*(2*$C$156+0.125))</f>
        <v>21.1338582677165</v>
      </c>
      <c r="X173" s="81" t="n">
        <f aca="false">7+(2*X$157*(2*$C$156+0.125))</f>
        <v>21.8405511811024</v>
      </c>
      <c r="Y173" s="81" t="n">
        <f aca="false">7+(2*Y$157*(2*$C$156+0.125))</f>
        <v>22.5472440944882</v>
      </c>
      <c r="Z173" s="81" t="n">
        <f aca="false">7+(2*Z$157*(2*$C$156+0.125))</f>
        <v>23.253937007874</v>
      </c>
      <c r="AA173" s="81" t="n">
        <f aca="false">7+(2*AA$157*(2*$C$156+0.125))</f>
        <v>23.9606299212598</v>
      </c>
    </row>
    <row r="174" customFormat="false" ht="15" hidden="false" customHeight="false" outlineLevel="0" collapsed="false">
      <c r="A174" s="16" t="n">
        <v>17</v>
      </c>
      <c r="B174" s="46" t="str">
        <f aca="false">'Stitch Library'!B22</f>
        <v>406 3/16" Btm Cover</v>
      </c>
      <c r="H174" s="81" t="n">
        <f aca="false">7+(2*H$157*(2*$C$156+0.188))</f>
        <v>11.1634645669291</v>
      </c>
      <c r="I174" s="81" t="n">
        <f aca="false">7+(2*I$157*(2*$C$156+0.188))</f>
        <v>11.996157480315</v>
      </c>
      <c r="J174" s="81" t="n">
        <f aca="false">7+(2*J$157*(2*$C$156+0.188))</f>
        <v>12.8288503937008</v>
      </c>
      <c r="K174" s="81" t="n">
        <f aca="false">7+(2*K$157*(2*$C$156+0.188))</f>
        <v>13.6615433070866</v>
      </c>
      <c r="L174" s="81" t="n">
        <f aca="false">7+(2*L$157*(2*$C$156+0.188))</f>
        <v>14.4942362204724</v>
      </c>
      <c r="M174" s="81" t="n">
        <f aca="false">7+(2*M$157*(2*$C$156+0.188))</f>
        <v>15.3269291338583</v>
      </c>
      <c r="N174" s="81" t="n">
        <f aca="false">7+(2*N$157*(2*$C$156+0.188))</f>
        <v>16.1596220472441</v>
      </c>
      <c r="O174" s="81" t="n">
        <f aca="false">7+(2*O$157*(2*$C$156+0.188))</f>
        <v>16.9923149606299</v>
      </c>
      <c r="P174" s="81" t="n">
        <f aca="false">7+(2*P$157*(2*$C$156+0.188))</f>
        <v>17.8250078740157</v>
      </c>
      <c r="Q174" s="81" t="n">
        <f aca="false">7+(2*Q$157*(2*$C$156+0.188))</f>
        <v>18.6577007874016</v>
      </c>
      <c r="R174" s="81" t="n">
        <f aca="false">7+(2*R$157*(2*$C$156+0.188))</f>
        <v>19.4903937007874</v>
      </c>
      <c r="S174" s="81" t="n">
        <f aca="false">7+(2*S$157*(2*$C$156+0.188))</f>
        <v>20.3230866141732</v>
      </c>
      <c r="T174" s="81" t="n">
        <f aca="false">7+(2*T$157*(2*$C$156+0.188))</f>
        <v>21.1557795275591</v>
      </c>
      <c r="U174" s="81" t="n">
        <f aca="false">7+(2*U$157*(2*$C$156+0.188))</f>
        <v>21.9884724409449</v>
      </c>
      <c r="V174" s="81" t="n">
        <f aca="false">7+(2*V$157*(2*$C$156+0.188))</f>
        <v>22.8211653543307</v>
      </c>
      <c r="W174" s="81" t="n">
        <f aca="false">7+(2*W$157*(2*$C$156+0.188))</f>
        <v>23.6538582677165</v>
      </c>
      <c r="X174" s="81" t="n">
        <f aca="false">7+(2*X$157*(2*$C$156+0.188))</f>
        <v>24.4865511811024</v>
      </c>
      <c r="Y174" s="81" t="n">
        <f aca="false">7+(2*Y$157*(2*$C$156+0.188))</f>
        <v>25.3192440944882</v>
      </c>
      <c r="Z174" s="81" t="n">
        <f aca="false">7+(2*Z$157*(2*$C$156+0.188))</f>
        <v>26.151937007874</v>
      </c>
      <c r="AA174" s="81" t="n">
        <f aca="false">7+(2*AA$157*(2*$C$156+0.188))</f>
        <v>26.9846299212598</v>
      </c>
    </row>
    <row r="175" customFormat="false" ht="15" hidden="false" customHeight="false" outlineLevel="0" collapsed="false">
      <c r="A175" s="16" t="n">
        <v>18</v>
      </c>
      <c r="B175" s="46" t="str">
        <f aca="false">'Stitch Library'!B23</f>
        <v>406 1/4" Btm Cover</v>
      </c>
      <c r="H175" s="81" t="n">
        <f aca="false">7+(2*H$157*(2*$C$156+0.25))</f>
        <v>11.7834645669291</v>
      </c>
      <c r="I175" s="81" t="n">
        <f aca="false">7+(2*I$157*(2*$C$156+0.25))</f>
        <v>12.740157480315</v>
      </c>
      <c r="J175" s="81" t="n">
        <f aca="false">7+(2*J$157*(2*$C$156+0.25))</f>
        <v>13.6968503937008</v>
      </c>
      <c r="K175" s="81" t="n">
        <f aca="false">7+(2*K$157*(2*$C$156+0.25))</f>
        <v>14.6535433070866</v>
      </c>
      <c r="L175" s="81" t="n">
        <f aca="false">7+(2*L$157*(2*$C$156+0.25))</f>
        <v>15.6102362204724</v>
      </c>
      <c r="M175" s="81" t="n">
        <f aca="false">7+(2*M$157*(2*$C$156+0.25))</f>
        <v>16.5669291338583</v>
      </c>
      <c r="N175" s="81" t="n">
        <f aca="false">7+(2*N$157*(2*$C$156+0.25))</f>
        <v>17.5236220472441</v>
      </c>
      <c r="O175" s="81" t="n">
        <f aca="false">7+(2*O$157*(2*$C$156+0.25))</f>
        <v>18.4803149606299</v>
      </c>
      <c r="P175" s="81" t="n">
        <f aca="false">7+(2*P$157*(2*$C$156+0.25))</f>
        <v>19.4370078740157</v>
      </c>
      <c r="Q175" s="81" t="n">
        <f aca="false">7+(2*Q$157*(2*$C$156+0.25))</f>
        <v>20.3937007874016</v>
      </c>
      <c r="R175" s="81" t="n">
        <f aca="false">7+(2*R$157*(2*$C$156+0.25))</f>
        <v>21.3503937007874</v>
      </c>
      <c r="S175" s="81" t="n">
        <f aca="false">7+(2*S$157*(2*$C$156+0.25))</f>
        <v>22.3070866141732</v>
      </c>
      <c r="T175" s="81" t="n">
        <f aca="false">7+(2*T$157*(2*$C$156+0.25))</f>
        <v>23.2637795275591</v>
      </c>
      <c r="U175" s="81" t="n">
        <f aca="false">7+(2*U$157*(2*$C$156+0.25))</f>
        <v>24.2204724409449</v>
      </c>
      <c r="V175" s="81" t="n">
        <f aca="false">7+(2*V$157*(2*$C$156+0.25))</f>
        <v>25.1771653543307</v>
      </c>
      <c r="W175" s="81" t="n">
        <f aca="false">7+(2*W$157*(2*$C$156+0.25))</f>
        <v>26.1338582677165</v>
      </c>
      <c r="X175" s="81" t="n">
        <f aca="false">7+(2*X$157*(2*$C$156+0.25))</f>
        <v>27.0905511811024</v>
      </c>
      <c r="Y175" s="81" t="n">
        <f aca="false">7+(2*Y$157*(2*$C$156+0.25))</f>
        <v>28.0472440944882</v>
      </c>
      <c r="Z175" s="81" t="n">
        <f aca="false">7+(2*Z$157*(2*$C$156+0.25))</f>
        <v>29.003937007874</v>
      </c>
      <c r="AA175" s="81" t="n">
        <f aca="false">7+(2*AA$157*(2*$C$156+0.25))</f>
        <v>29.9606299212598</v>
      </c>
    </row>
    <row r="176" customFormat="false" ht="15" hidden="false" customHeight="false" outlineLevel="0" collapsed="false">
      <c r="A176" s="16" t="n">
        <v>19</v>
      </c>
      <c r="B176" s="46" t="str">
        <f aca="false">'Stitch Library'!B24</f>
        <v>407 3Ndl Btm Cover</v>
      </c>
      <c r="H176" s="81" t="n">
        <f aca="false">9+2*H$157*(3*$C$156+0.25)</f>
        <v>14.9251968503937</v>
      </c>
      <c r="I176" s="81" t="n">
        <f aca="false">9+2*I$157*(3*$C$156+0.25)</f>
        <v>16.1102362204724</v>
      </c>
      <c r="J176" s="81" t="n">
        <f aca="false">9+2*J$157*(3*$C$156+0.25)</f>
        <v>17.2952755905512</v>
      </c>
      <c r="K176" s="81" t="n">
        <f aca="false">9+2*K$157*(3*$C$156+0.25)</f>
        <v>18.4803149606299</v>
      </c>
      <c r="L176" s="81" t="n">
        <f aca="false">9+2*L$157*(3*$C$156+0.25)</f>
        <v>19.6653543307087</v>
      </c>
      <c r="M176" s="81" t="n">
        <f aca="false">9+2*M$157*(3*$C$156+0.25)</f>
        <v>20.8503937007874</v>
      </c>
      <c r="N176" s="81" t="n">
        <f aca="false">9+2*N$157*(3*$C$156+0.25)</f>
        <v>22.0354330708661</v>
      </c>
      <c r="O176" s="81" t="n">
        <f aca="false">9+2*O$157*(3*$C$156+0.25)</f>
        <v>23.2204724409449</v>
      </c>
      <c r="P176" s="81" t="n">
        <f aca="false">9+2*P$157*(3*$C$156+0.25)</f>
        <v>24.4055118110236</v>
      </c>
      <c r="Q176" s="81" t="n">
        <f aca="false">9+2*Q$157*(3*$C$156+0.25)</f>
        <v>25.5905511811024</v>
      </c>
      <c r="R176" s="81" t="n">
        <f aca="false">9+2*R$157*(3*$C$156+0.25)</f>
        <v>26.7755905511811</v>
      </c>
      <c r="S176" s="81" t="n">
        <f aca="false">9+2*S$157*(3*$C$156+0.25)</f>
        <v>27.9606299212598</v>
      </c>
      <c r="T176" s="81" t="n">
        <f aca="false">9+2*T$157*(3*$C$156+0.25)</f>
        <v>29.1456692913386</v>
      </c>
      <c r="U176" s="81" t="n">
        <f aca="false">9+2*U$157*(3*$C$156+0.25)</f>
        <v>30.3307086614173</v>
      </c>
      <c r="V176" s="81" t="n">
        <f aca="false">9+2*V$157*(3*$C$156+0.25)</f>
        <v>31.5157480314961</v>
      </c>
      <c r="W176" s="81" t="n">
        <f aca="false">9+2*W$157*(3*$C$156+0.25)</f>
        <v>32.7007874015748</v>
      </c>
      <c r="X176" s="81" t="n">
        <f aca="false">9+2*X$157*(3*$C$156+0.25)</f>
        <v>33.8858267716535</v>
      </c>
      <c r="Y176" s="81" t="n">
        <f aca="false">9+2*Y$157*(3*$C$156+0.25)</f>
        <v>35.0708661417323</v>
      </c>
      <c r="Z176" s="81" t="n">
        <f aca="false">9+2*Z$157*(3*$C$156+0.25)</f>
        <v>36.255905511811</v>
      </c>
      <c r="AA176" s="81" t="n">
        <f aca="false">9+2*AA$157*(3*$C$156+0.25)</f>
        <v>37.4409448818898</v>
      </c>
    </row>
    <row r="177" customFormat="false" ht="15" hidden="false" customHeight="false" outlineLevel="0" collapsed="false">
      <c r="A177" s="16" t="n">
        <v>20</v>
      </c>
      <c r="B177" s="46" t="str">
        <f aca="false">'Stitch Library'!B25</f>
        <v>408 Pkt Facings</v>
      </c>
      <c r="H177" s="80" t="n">
        <v>15.35</v>
      </c>
      <c r="I177" s="80" t="n">
        <v>16.82</v>
      </c>
      <c r="J177" s="80" t="n">
        <v>18.29</v>
      </c>
      <c r="K177" s="80" t="n">
        <v>19.76</v>
      </c>
      <c r="L177" s="80" t="n">
        <v>21.23</v>
      </c>
      <c r="M177" s="80" t="n">
        <v>22.7</v>
      </c>
      <c r="N177" s="80" t="n">
        <v>24.17</v>
      </c>
      <c r="O177" s="80" t="n">
        <v>25.64</v>
      </c>
      <c r="P177" s="80" t="n">
        <v>27.11</v>
      </c>
      <c r="Q177" s="80" t="n">
        <v>28.58</v>
      </c>
      <c r="R177" s="80" t="n">
        <v>30.05</v>
      </c>
      <c r="S177" s="80" t="n">
        <v>31.52</v>
      </c>
      <c r="T177" s="80" t="n">
        <v>32.99</v>
      </c>
      <c r="U177" s="80" t="n">
        <v>34.46</v>
      </c>
      <c r="V177" s="80" t="n">
        <v>35.93</v>
      </c>
      <c r="W177" s="80" t="n">
        <v>37.4</v>
      </c>
      <c r="X177" s="80" t="n">
        <v>38.87</v>
      </c>
      <c r="Y177" s="80" t="n">
        <v>40.34</v>
      </c>
      <c r="Z177" s="80" t="n">
        <v>41.81</v>
      </c>
      <c r="AA177" s="80" t="n">
        <v>43.28</v>
      </c>
    </row>
    <row r="178" customFormat="false" ht="15" hidden="false" customHeight="false" outlineLevel="0" collapsed="false">
      <c r="A178" s="16" t="n">
        <v>21</v>
      </c>
      <c r="B178" s="46" t="str">
        <f aca="false">'Stitch Library'!B26</f>
        <v>411 Picoetta Stitch</v>
      </c>
      <c r="E178" s="80" t="n">
        <v>14.6141732283465</v>
      </c>
      <c r="F178" s="80" t="n">
        <v>21.9212598425197</v>
      </c>
      <c r="G178" s="80" t="n">
        <v>29.2283464566929</v>
      </c>
      <c r="H178" s="80" t="n">
        <v>36.5354330708661</v>
      </c>
    </row>
    <row r="179" customFormat="false" ht="15" hidden="false" customHeight="false" outlineLevel="0" collapsed="false">
      <c r="A179" s="16" t="n">
        <v>22</v>
      </c>
      <c r="B179" s="46" t="str">
        <f aca="false">'Stitch Library'!B27</f>
        <v>503 1/8" 2Thd Serge</v>
      </c>
      <c r="H179" s="81" t="n">
        <f aca="false">4*(H$157*(0.125+$C$156))+2</f>
        <v>6.78346456692913</v>
      </c>
      <c r="I179" s="81" t="n">
        <f aca="false">4*(I$157*(0.125+$C$156))+2</f>
        <v>7.74015748031496</v>
      </c>
      <c r="J179" s="81" t="n">
        <f aca="false">4*(J$157*(0.125+$C$156))+2</f>
        <v>8.69685039370079</v>
      </c>
      <c r="K179" s="81" t="n">
        <f aca="false">4*(K$157*(0.125+$C$156))+2</f>
        <v>9.65354330708662</v>
      </c>
      <c r="L179" s="81" t="n">
        <f aca="false">4*(L$157*(0.125+$C$156))+2</f>
        <v>10.6102362204724</v>
      </c>
      <c r="M179" s="81" t="n">
        <f aca="false">4*(M$157*(0.125+$C$156))+2</f>
        <v>11.5669291338583</v>
      </c>
      <c r="N179" s="81" t="n">
        <f aca="false">4*(N$157*(0.125+$C$156))+2</f>
        <v>12.5236220472441</v>
      </c>
      <c r="O179" s="81" t="n">
        <f aca="false">4*(O$157*(0.125+$C$156))+2</f>
        <v>13.4803149606299</v>
      </c>
      <c r="P179" s="81" t="n">
        <f aca="false">4*(P$157*(0.125+$C$156))+2</f>
        <v>14.4370078740157</v>
      </c>
      <c r="Q179" s="81" t="n">
        <f aca="false">4*(Q$157*(0.125+$C$156))+2</f>
        <v>15.3937007874016</v>
      </c>
      <c r="R179" s="81" t="n">
        <f aca="false">4*(R$157*(0.125+$C$156))+2</f>
        <v>16.3503937007874</v>
      </c>
      <c r="S179" s="81" t="n">
        <f aca="false">4*(S$157*(0.125+$C$156))+2</f>
        <v>17.3070866141732</v>
      </c>
      <c r="T179" s="81" t="n">
        <f aca="false">4*(T$157*(0.125+$C$156))+2</f>
        <v>18.2637795275591</v>
      </c>
      <c r="U179" s="81" t="n">
        <f aca="false">4*(U$157*(0.125+$C$156))+2</f>
        <v>19.2204724409449</v>
      </c>
      <c r="V179" s="81" t="n">
        <f aca="false">4*(V$157*(0.125+$C$156))+2</f>
        <v>20.1771653543307</v>
      </c>
      <c r="W179" s="81" t="n">
        <f aca="false">4*(W$157*(0.125+$C$156))+2</f>
        <v>21.1338582677165</v>
      </c>
      <c r="X179" s="81" t="n">
        <f aca="false">4*(X$157*(0.125+$C$156))+2</f>
        <v>22.0905511811024</v>
      </c>
      <c r="Y179" s="81" t="n">
        <f aca="false">4*(Y$157*(0.125+$C$156))+2</f>
        <v>23.0472440944882</v>
      </c>
      <c r="Z179" s="81" t="n">
        <f aca="false">4*(Z$157*(0.125+$C$156))+2</f>
        <v>24.003937007874</v>
      </c>
      <c r="AA179" s="81" t="n">
        <f aca="false">4*(AA$157*(0.125+$C$156))+2</f>
        <v>24.9606299212598</v>
      </c>
    </row>
    <row r="180" customFormat="false" ht="15" hidden="false" customHeight="false" outlineLevel="0" collapsed="false">
      <c r="A180" s="16" t="n">
        <v>23</v>
      </c>
      <c r="B180" s="46" t="str">
        <f aca="false">'Stitch Library'!B28</f>
        <v>503 3/16" 2 Thd Serge</v>
      </c>
      <c r="H180" s="81" t="n">
        <f aca="false">4*(H$157*(0.188+$C$156))+2</f>
        <v>8.04346456692914</v>
      </c>
      <c r="I180" s="81" t="n">
        <f aca="false">4*(I$157*(0.188+$C$156))+2</f>
        <v>9.25215748031496</v>
      </c>
      <c r="J180" s="81" t="n">
        <f aca="false">4*(J$157*(0.188+$C$156))+2</f>
        <v>10.4608503937008</v>
      </c>
      <c r="K180" s="81" t="n">
        <f aca="false">4*(K$157*(0.188+$C$156))+2</f>
        <v>11.6695433070866</v>
      </c>
      <c r="L180" s="81" t="n">
        <f aca="false">4*(L$157*(0.188+$C$156))+2</f>
        <v>12.8782362204724</v>
      </c>
      <c r="M180" s="81" t="n">
        <f aca="false">4*(M$157*(0.188+$C$156))+2</f>
        <v>14.0869291338583</v>
      </c>
      <c r="N180" s="81" t="n">
        <f aca="false">4*(N$157*(0.188+$C$156))+2</f>
        <v>15.2956220472441</v>
      </c>
      <c r="O180" s="81" t="n">
        <f aca="false">4*(O$157*(0.188+$C$156))+2</f>
        <v>16.5043149606299</v>
      </c>
      <c r="P180" s="81" t="n">
        <f aca="false">4*(P$157*(0.188+$C$156))+2</f>
        <v>17.7130078740158</v>
      </c>
      <c r="Q180" s="81" t="n">
        <f aca="false">4*(Q$157*(0.188+$C$156))+2</f>
        <v>18.9217007874016</v>
      </c>
      <c r="R180" s="81" t="n">
        <f aca="false">4*(R$157*(0.188+$C$156))+2</f>
        <v>20.1303937007874</v>
      </c>
      <c r="S180" s="81" t="n">
        <f aca="false">4*(S$157*(0.188+$C$156))+2</f>
        <v>21.3390866141732</v>
      </c>
      <c r="T180" s="81" t="n">
        <f aca="false">4*(T$157*(0.188+$C$156))+2</f>
        <v>22.5477795275591</v>
      </c>
      <c r="U180" s="81" t="n">
        <f aca="false">4*(U$157*(0.188+$C$156))+2</f>
        <v>23.7564724409449</v>
      </c>
      <c r="V180" s="81" t="n">
        <f aca="false">4*(V$157*(0.188+$C$156))+2</f>
        <v>24.9651653543307</v>
      </c>
      <c r="W180" s="81" t="n">
        <f aca="false">4*(W$157*(0.188+$C$156))+2</f>
        <v>26.1738582677165</v>
      </c>
      <c r="X180" s="81" t="n">
        <f aca="false">4*(X$157*(0.188+$C$156))+2</f>
        <v>27.3825511811024</v>
      </c>
      <c r="Y180" s="81" t="n">
        <f aca="false">4*(Y$157*(0.188+$C$156))+2</f>
        <v>28.5912440944882</v>
      </c>
      <c r="Z180" s="81" t="n">
        <f aca="false">4*(Z$157*(0.188+$C$156))+2</f>
        <v>29.799937007874</v>
      </c>
      <c r="AA180" s="81" t="n">
        <f aca="false">4*(AA$157*(0.188+$C$156))+2</f>
        <v>31.0086299212598</v>
      </c>
    </row>
    <row r="181" customFormat="false" ht="15" hidden="false" customHeight="false" outlineLevel="0" collapsed="false">
      <c r="A181" s="16" t="n">
        <v>24</v>
      </c>
      <c r="B181" s="46" t="str">
        <f aca="false">'Stitch Library'!B29</f>
        <v>503 1/4" 2 Thd Serge</v>
      </c>
      <c r="H181" s="81" t="n">
        <f aca="false">4*(H$157*(0.25+$C$156))+2</f>
        <v>9.28346456692913</v>
      </c>
      <c r="I181" s="81" t="n">
        <f aca="false">4*(I$157*(0.25+$C$156))+2</f>
        <v>10.740157480315</v>
      </c>
      <c r="J181" s="81" t="n">
        <f aca="false">4*(J$157*(0.25+$C$156))+2</f>
        <v>12.1968503937008</v>
      </c>
      <c r="K181" s="81" t="n">
        <f aca="false">4*(K$157*(0.25+$C$156))+2</f>
        <v>13.6535433070866</v>
      </c>
      <c r="L181" s="81" t="n">
        <f aca="false">4*(L$157*(0.25+$C$156))+2</f>
        <v>15.1102362204724</v>
      </c>
      <c r="M181" s="81" t="n">
        <f aca="false">4*(M$157*(0.25+$C$156))+2</f>
        <v>16.5669291338583</v>
      </c>
      <c r="N181" s="81" t="n">
        <f aca="false">4*(N$157*(0.25+$C$156))+2</f>
        <v>18.0236220472441</v>
      </c>
      <c r="O181" s="81" t="n">
        <f aca="false">4*(O$157*(0.25+$C$156))+2</f>
        <v>19.4803149606299</v>
      </c>
      <c r="P181" s="81" t="n">
        <f aca="false">4*(P$157*(0.25+$C$156))+2</f>
        <v>20.9370078740157</v>
      </c>
      <c r="Q181" s="81" t="n">
        <f aca="false">4*(Q$157*(0.25+$C$156))+2</f>
        <v>22.3937007874016</v>
      </c>
      <c r="R181" s="81" t="n">
        <f aca="false">4*(R$157*(0.25+$C$156))+2</f>
        <v>23.8503937007874</v>
      </c>
      <c r="S181" s="81" t="n">
        <f aca="false">4*(S$157*(0.25+$C$156))+2</f>
        <v>25.3070866141732</v>
      </c>
      <c r="T181" s="81" t="n">
        <f aca="false">4*(T$157*(0.25+$C$156))+2</f>
        <v>26.7637795275591</v>
      </c>
      <c r="U181" s="81" t="n">
        <f aca="false">4*(U$157*(0.25+$C$156))+2</f>
        <v>28.2204724409449</v>
      </c>
      <c r="V181" s="81" t="n">
        <f aca="false">4*(V$157*(0.25+$C$156))+2</f>
        <v>29.6771653543307</v>
      </c>
      <c r="W181" s="81" t="n">
        <f aca="false">4*(W$157*(0.25+$C$156))+2</f>
        <v>31.1338582677165</v>
      </c>
      <c r="X181" s="81" t="n">
        <f aca="false">4*(X$157*(0.25+$C$156))+2</f>
        <v>32.5905511811024</v>
      </c>
      <c r="Y181" s="81" t="n">
        <f aca="false">4*(Y$157*(0.25+$C$156))+2</f>
        <v>34.0472440944882</v>
      </c>
      <c r="Z181" s="81" t="n">
        <f aca="false">4*(Z$157*(0.25+$C$156))+2</f>
        <v>35.503937007874</v>
      </c>
      <c r="AA181" s="81" t="n">
        <f aca="false">4*(AA$157*(0.25+$C$156))+2</f>
        <v>36.9606299212598</v>
      </c>
    </row>
    <row r="182" customFormat="false" ht="15" hidden="false" customHeight="false" outlineLevel="0" collapsed="false">
      <c r="A182" s="16" t="n">
        <v>25</v>
      </c>
      <c r="B182" s="46" t="str">
        <f aca="false">'Stitch Library'!B30</f>
        <v>504 1/8" 1 Ndl Overedge</v>
      </c>
      <c r="H182" s="81" t="n">
        <f aca="false">4*(H$157*(0.125+$C$156))+5</f>
        <v>9.78346456692913</v>
      </c>
      <c r="I182" s="81" t="n">
        <f aca="false">4*(I$157*(0.125+$C$156))+5</f>
        <v>10.740157480315</v>
      </c>
      <c r="J182" s="81" t="n">
        <f aca="false">4*(J$157*(0.125+$C$156))+5</f>
        <v>11.6968503937008</v>
      </c>
      <c r="K182" s="81" t="n">
        <f aca="false">4*(K$157*(0.125+$C$156))+5</f>
        <v>12.6535433070866</v>
      </c>
      <c r="L182" s="81" t="n">
        <f aca="false">4*(L$157*(0.125+$C$156))+5</f>
        <v>13.6102362204724</v>
      </c>
      <c r="M182" s="81" t="n">
        <f aca="false">4*(M$157*(0.125+$C$156))+5</f>
        <v>14.5669291338583</v>
      </c>
      <c r="N182" s="81" t="n">
        <f aca="false">4*(N$157*(0.125+$C$156))+5</f>
        <v>15.5236220472441</v>
      </c>
      <c r="O182" s="81" t="n">
        <f aca="false">4*(O$157*(0.125+$C$156))+5</f>
        <v>16.4803149606299</v>
      </c>
      <c r="P182" s="81" t="n">
        <f aca="false">4*(P$157*(0.125+$C$156))+5</f>
        <v>17.4370078740157</v>
      </c>
      <c r="Q182" s="81" t="n">
        <f aca="false">4*(Q$157*(0.125+$C$156))+5</f>
        <v>18.3937007874016</v>
      </c>
      <c r="R182" s="81" t="n">
        <f aca="false">4*(R$157*(0.125+$C$156))+5</f>
        <v>19.3503937007874</v>
      </c>
      <c r="S182" s="81" t="n">
        <f aca="false">4*(S$157*(0.125+$C$156))+5</f>
        <v>20.3070866141732</v>
      </c>
      <c r="T182" s="81" t="n">
        <f aca="false">4*(T$157*(0.125+$C$156))+5</f>
        <v>21.2637795275591</v>
      </c>
      <c r="U182" s="81" t="n">
        <f aca="false">4*(U$157*(0.125+$C$156))+5</f>
        <v>22.2204724409449</v>
      </c>
      <c r="V182" s="81" t="n">
        <f aca="false">4*(V$157*(0.125+$C$156))+5</f>
        <v>23.1771653543307</v>
      </c>
      <c r="W182" s="81" t="n">
        <f aca="false">4*(W$157*(0.125+$C$156))+5</f>
        <v>24.1338582677165</v>
      </c>
      <c r="X182" s="81" t="n">
        <f aca="false">4*(X$157*(0.125+$C$156))+5</f>
        <v>25.0905511811024</v>
      </c>
      <c r="Y182" s="81" t="n">
        <f aca="false">4*(Y$157*(0.125+$C$156))+5</f>
        <v>26.0472440944882</v>
      </c>
      <c r="Z182" s="81" t="n">
        <f aca="false">4*(Z$157*(0.125+$C$156))+5</f>
        <v>27.003937007874</v>
      </c>
      <c r="AA182" s="81" t="n">
        <f aca="false">4*(AA$157*(0.125+$C$156))+5</f>
        <v>27.9606299212598</v>
      </c>
    </row>
    <row r="183" customFormat="false" ht="15" hidden="false" customHeight="false" outlineLevel="0" collapsed="false">
      <c r="A183" s="16" t="n">
        <v>26</v>
      </c>
      <c r="B183" s="46" t="str">
        <f aca="false">'Stitch Library'!B31</f>
        <v>504 3/16" 1 Ndl Overedge</v>
      </c>
      <c r="H183" s="81" t="n">
        <f aca="false">4*(H$157*(0.188+$C$156))+5</f>
        <v>11.0434645669291</v>
      </c>
      <c r="I183" s="81" t="n">
        <f aca="false">4*(I$157*(0.188+$C$156))+5</f>
        <v>12.252157480315</v>
      </c>
      <c r="J183" s="81" t="n">
        <f aca="false">4*(J$157*(0.188+$C$156))+5</f>
        <v>13.4608503937008</v>
      </c>
      <c r="K183" s="81" t="n">
        <f aca="false">4*(K$157*(0.188+$C$156))+5</f>
        <v>14.6695433070866</v>
      </c>
      <c r="L183" s="81" t="n">
        <f aca="false">4*(L$157*(0.188+$C$156))+5</f>
        <v>15.8782362204724</v>
      </c>
      <c r="M183" s="81" t="n">
        <f aca="false">4*(M$157*(0.188+$C$156))+5</f>
        <v>17.0869291338583</v>
      </c>
      <c r="N183" s="81" t="n">
        <f aca="false">4*(N$157*(0.188+$C$156))+5</f>
        <v>18.2956220472441</v>
      </c>
      <c r="O183" s="81" t="n">
        <f aca="false">4*(O$157*(0.188+$C$156))+5</f>
        <v>19.5043149606299</v>
      </c>
      <c r="P183" s="81" t="n">
        <f aca="false">4*(P$157*(0.188+$C$156))+5</f>
        <v>20.7130078740158</v>
      </c>
      <c r="Q183" s="81" t="n">
        <f aca="false">4*(Q$157*(0.188+$C$156))+5</f>
        <v>21.9217007874016</v>
      </c>
      <c r="R183" s="81" t="n">
        <f aca="false">4*(R$157*(0.188+$C$156))+5</f>
        <v>23.1303937007874</v>
      </c>
      <c r="S183" s="81" t="n">
        <f aca="false">4*(S$157*(0.188+$C$156))+5</f>
        <v>24.3390866141732</v>
      </c>
      <c r="T183" s="81" t="n">
        <f aca="false">4*(T$157*(0.188+$C$156))+5</f>
        <v>25.5477795275591</v>
      </c>
      <c r="U183" s="81" t="n">
        <f aca="false">4*(U$157*(0.188+$C$156))+5</f>
        <v>26.7564724409449</v>
      </c>
      <c r="V183" s="81" t="n">
        <f aca="false">4*(V$157*(0.188+$C$156))+5</f>
        <v>27.9651653543307</v>
      </c>
      <c r="W183" s="81" t="n">
        <f aca="false">4*(W$157*(0.188+$C$156))+5</f>
        <v>29.1738582677165</v>
      </c>
      <c r="X183" s="81" t="n">
        <f aca="false">4*(X$157*(0.188+$C$156))+5</f>
        <v>30.3825511811024</v>
      </c>
      <c r="Y183" s="81" t="n">
        <f aca="false">4*(Y$157*(0.188+$C$156))+5</f>
        <v>31.5912440944882</v>
      </c>
      <c r="Z183" s="81" t="n">
        <f aca="false">4*(Z$157*(0.188+$C$156))+5</f>
        <v>32.799937007874</v>
      </c>
      <c r="AA183" s="81" t="n">
        <f aca="false">4*(AA$157*(0.188+$C$156))+5</f>
        <v>34.0086299212598</v>
      </c>
    </row>
    <row r="184" customFormat="false" ht="15" hidden="false" customHeight="false" outlineLevel="0" collapsed="false">
      <c r="A184" s="16" t="n">
        <v>27</v>
      </c>
      <c r="B184" s="46" t="str">
        <f aca="false">'Stitch Library'!B32</f>
        <v>504 1/4" 1 Ndl Overedge</v>
      </c>
      <c r="H184" s="81" t="n">
        <f aca="false">4*(H$157*(0.25+$C$156))+5</f>
        <v>12.2834645669291</v>
      </c>
      <c r="I184" s="81" t="n">
        <f aca="false">4*(I$157*(0.25+$C$156))+5</f>
        <v>13.740157480315</v>
      </c>
      <c r="J184" s="81" t="n">
        <f aca="false">4*(J$157*(0.25+$C$156))+5</f>
        <v>15.1968503937008</v>
      </c>
      <c r="K184" s="81" t="n">
        <f aca="false">4*(K$157*(0.25+$C$156))+5</f>
        <v>16.6535433070866</v>
      </c>
      <c r="L184" s="81" t="n">
        <f aca="false">4*(L$157*(0.25+$C$156))+5</f>
        <v>18.1102362204724</v>
      </c>
      <c r="M184" s="81" t="n">
        <f aca="false">4*(M$157*(0.25+$C$156))+5</f>
        <v>19.5669291338583</v>
      </c>
      <c r="N184" s="81" t="n">
        <f aca="false">4*(N$157*(0.25+$C$156))+5</f>
        <v>21.0236220472441</v>
      </c>
      <c r="O184" s="81" t="n">
        <f aca="false">4*(O$157*(0.25+$C$156))+5</f>
        <v>22.4803149606299</v>
      </c>
      <c r="P184" s="81" t="n">
        <f aca="false">4*(P$157*(0.25+$C$156))+5</f>
        <v>23.9370078740157</v>
      </c>
      <c r="Q184" s="81" t="n">
        <f aca="false">4*(Q$157*(0.25+$C$156))+5</f>
        <v>25.3937007874016</v>
      </c>
      <c r="R184" s="81" t="n">
        <f aca="false">4*(R$157*(0.25+$C$156))+5</f>
        <v>26.8503937007874</v>
      </c>
      <c r="S184" s="81" t="n">
        <f aca="false">4*(S$157*(0.25+$C$156))+5</f>
        <v>28.3070866141732</v>
      </c>
      <c r="T184" s="81" t="n">
        <f aca="false">4*(T$157*(0.25+$C$156))+5</f>
        <v>29.7637795275591</v>
      </c>
      <c r="U184" s="81" t="n">
        <f aca="false">4*(U$157*(0.25+$C$156))+5</f>
        <v>31.2204724409449</v>
      </c>
      <c r="V184" s="81" t="n">
        <f aca="false">4*(V$157*(0.25+$C$156))+5</f>
        <v>32.6771653543307</v>
      </c>
      <c r="W184" s="81" t="n">
        <f aca="false">4*(W$157*(0.25+$C$156))+5</f>
        <v>34.1338582677165</v>
      </c>
      <c r="X184" s="81" t="n">
        <f aca="false">4*(X$157*(0.25+$C$156))+5</f>
        <v>35.5905511811024</v>
      </c>
      <c r="Y184" s="81" t="n">
        <f aca="false">4*(Y$157*(0.25+$C$156))+5</f>
        <v>37.0472440944882</v>
      </c>
      <c r="Z184" s="81" t="n">
        <f aca="false">4*(Z$157*(0.25+$C$156))+5</f>
        <v>38.503937007874</v>
      </c>
      <c r="AA184" s="81" t="n">
        <f aca="false">4*(AA$157*(0.25+$C$156))+5</f>
        <v>39.9606299212598</v>
      </c>
    </row>
    <row r="185" customFormat="false" ht="15" hidden="false" customHeight="false" outlineLevel="0" collapsed="false">
      <c r="A185" s="16" t="n">
        <v>28</v>
      </c>
      <c r="B185" s="46" t="str">
        <f aca="false">'Stitch Library'!B33</f>
        <v>512 (3/16) 2 Ndl Overedge</v>
      </c>
      <c r="H185" s="81" t="n">
        <f aca="false">5+6*(H$157*$C$156)+2.18*(0.188*H$157)</f>
        <v>10.4743968503937</v>
      </c>
      <c r="I185" s="81" t="n">
        <f aca="false">5+6*(I$157*$C$156)+2.18*(0.188*I$157)</f>
        <v>11.5692762204724</v>
      </c>
      <c r="J185" s="81" t="n">
        <f aca="false">5+6*(J$157*$C$156)+2.18*(0.188*J$157)</f>
        <v>12.6641555905512</v>
      </c>
      <c r="K185" s="81" t="n">
        <f aca="false">5+6*(K$157*$C$156)+2.18*(0.188*K$157)</f>
        <v>13.7590349606299</v>
      </c>
      <c r="L185" s="81" t="n">
        <f aca="false">5+6*(L$157*$C$156)+2.18*(0.188*L$157)</f>
        <v>14.8539143307087</v>
      </c>
      <c r="M185" s="81" t="n">
        <f aca="false">5+6*(M$157*$C$156)+2.18*(0.188*M$157)</f>
        <v>15.9487937007874</v>
      </c>
      <c r="N185" s="81" t="n">
        <f aca="false">5+6*(N$157*$C$156)+2.18*(0.188*N$157)</f>
        <v>17.0436730708661</v>
      </c>
      <c r="O185" s="81" t="n">
        <f aca="false">5+6*(O$157*$C$156)+2.18*(0.188*O$157)</f>
        <v>18.1385524409449</v>
      </c>
      <c r="P185" s="81" t="n">
        <f aca="false">5+6*(P$157*$C$156)+2.18*(0.188*P$157)</f>
        <v>19.2334318110236</v>
      </c>
      <c r="Q185" s="81" t="n">
        <f aca="false">5+6*(Q$157*$C$156)+2.18*(0.188*Q$157)</f>
        <v>20.3283111811024</v>
      </c>
      <c r="R185" s="81" t="n">
        <f aca="false">5+6*(R$157*$C$156)+2.18*(0.188*R$157)</f>
        <v>21.4231905511811</v>
      </c>
      <c r="S185" s="81" t="n">
        <f aca="false">5+6*(S$157*$C$156)+2.18*(0.188*S$157)</f>
        <v>22.5180699212598</v>
      </c>
      <c r="T185" s="81" t="n">
        <f aca="false">5+6*(T$157*$C$156)+2.18*(0.188*T$157)</f>
        <v>23.6129492913386</v>
      </c>
      <c r="U185" s="81" t="n">
        <f aca="false">5+6*(U$157*$C$156)+2.18*(0.188*U$157)</f>
        <v>24.7078286614173</v>
      </c>
      <c r="V185" s="81" t="n">
        <f aca="false">5+6*(V$157*$C$156)+2.18*(0.188*V$157)</f>
        <v>25.8027080314961</v>
      </c>
      <c r="W185" s="81" t="n">
        <f aca="false">5+6*(W$157*$C$156)+2.18*(0.188*W$157)</f>
        <v>26.8975874015748</v>
      </c>
      <c r="X185" s="81" t="n">
        <f aca="false">5+6*(X$157*$C$156)+2.18*(0.188*X$157)</f>
        <v>27.9924667716535</v>
      </c>
      <c r="Y185" s="81" t="n">
        <f aca="false">5+6*(Y$157*$C$156)+2.18*(0.188*Y$157)</f>
        <v>29.0873461417323</v>
      </c>
      <c r="Z185" s="81" t="n">
        <f aca="false">5+6*(Z$157*$C$156)+2.18*(0.188*Z$157)</f>
        <v>30.182225511811</v>
      </c>
      <c r="AA185" s="81" t="n">
        <f aca="false">5+6*(AA$157*$C$156)+2.18*(0.188*AA$157)</f>
        <v>31.2771048818898</v>
      </c>
    </row>
    <row r="186" customFormat="false" ht="15" hidden="false" customHeight="false" outlineLevel="0" collapsed="false">
      <c r="A186" s="16" t="n">
        <v>29</v>
      </c>
      <c r="B186" s="46" t="str">
        <f aca="false">'Stitch Library'!B34</f>
        <v>512 (1/4) 2 Ndl Overedge</v>
      </c>
      <c r="H186" s="81" t="n">
        <f aca="false">5+6*(H$157*$C$156)+2.18*(0.25*H$157)</f>
        <v>11.1501968503937</v>
      </c>
      <c r="I186" s="81" t="n">
        <f aca="false">5+6*(I$157*$C$156)+2.18*(0.25*I$157)</f>
        <v>12.3802362204724</v>
      </c>
      <c r="J186" s="81" t="n">
        <f aca="false">5+6*(J$157*$C$156)+2.18*(0.25*J$157)</f>
        <v>13.6102755905512</v>
      </c>
      <c r="K186" s="81" t="n">
        <f aca="false">5+6*(K$157*$C$156)+2.18*(0.25*K$157)</f>
        <v>14.8403149606299</v>
      </c>
      <c r="L186" s="81" t="n">
        <f aca="false">5+6*(L$157*$C$156)+2.18*(0.25*L$157)</f>
        <v>16.0703543307087</v>
      </c>
      <c r="M186" s="81" t="n">
        <f aca="false">5+6*(M$157*$C$156)+2.18*(0.25*M$157)</f>
        <v>17.3003937007874</v>
      </c>
      <c r="N186" s="81" t="n">
        <f aca="false">5+6*(N$157*$C$156)+2.18*(0.25*N$157)</f>
        <v>18.5304330708661</v>
      </c>
      <c r="O186" s="81" t="n">
        <f aca="false">5+6*(O$157*$C$156)+2.18*(0.25*O$157)</f>
        <v>19.7604724409449</v>
      </c>
      <c r="P186" s="81" t="n">
        <f aca="false">5+6*(P$157*$C$156)+2.18*(0.25*P$157)</f>
        <v>20.9905118110236</v>
      </c>
      <c r="Q186" s="81" t="n">
        <f aca="false">5+6*(Q$157*$C$156)+2.18*(0.25*Q$157)</f>
        <v>22.2205511811024</v>
      </c>
      <c r="R186" s="81" t="n">
        <f aca="false">5+6*(R$157*$C$156)+2.18*(0.25*R$157)</f>
        <v>23.4505905511811</v>
      </c>
      <c r="S186" s="81" t="n">
        <f aca="false">5+6*(S$157*$C$156)+2.18*(0.25*S$157)</f>
        <v>24.6806299212598</v>
      </c>
      <c r="T186" s="81" t="n">
        <f aca="false">5+6*(T$157*$C$156)+2.18*(0.25*T$157)</f>
        <v>25.9106692913386</v>
      </c>
      <c r="U186" s="81" t="n">
        <f aca="false">5+6*(U$157*$C$156)+2.18*(0.25*U$157)</f>
        <v>27.1407086614173</v>
      </c>
      <c r="V186" s="81" t="n">
        <f aca="false">5+6*(V$157*$C$156)+2.18*(0.25*V$157)</f>
        <v>28.3707480314961</v>
      </c>
      <c r="W186" s="81" t="n">
        <f aca="false">5+6*(W$157*$C$156)+2.18*(0.25*W$157)</f>
        <v>29.6007874015748</v>
      </c>
      <c r="X186" s="81" t="n">
        <f aca="false">5+6*(X$157*$C$156)+2.18*(0.25*X$157)</f>
        <v>30.8308267716535</v>
      </c>
      <c r="Y186" s="81" t="n">
        <f aca="false">5+6*(Y$157*$C$156)+2.18*(0.25*Y$157)</f>
        <v>32.0608661417323</v>
      </c>
      <c r="Z186" s="81" t="n">
        <f aca="false">5+6*(Z$157*$C$156)+2.18*(0.25*Z$157)</f>
        <v>33.290905511811</v>
      </c>
      <c r="AA186" s="81" t="n">
        <f aca="false">5+6*(AA$157*$C$156)+2.18*(0.25*AA$157)</f>
        <v>34.5209448818898</v>
      </c>
    </row>
    <row r="187" customFormat="false" ht="15" hidden="false" customHeight="false" outlineLevel="0" collapsed="false">
      <c r="A187" s="16" t="n">
        <v>30</v>
      </c>
      <c r="B187" s="46" t="str">
        <f aca="false">'Stitch Library'!B35</f>
        <v>512 (5/16) 2 Ndl Overedge</v>
      </c>
      <c r="H187" s="81" t="n">
        <f aca="false">5+6*(H$157*$C$156)+2.18*(0.313*H$157)</f>
        <v>11.8368968503937</v>
      </c>
      <c r="I187" s="81" t="n">
        <f aca="false">5+6*(I$157*$C$156)+2.18*(0.313*I$157)</f>
        <v>13.2042762204724</v>
      </c>
      <c r="J187" s="81" t="n">
        <f aca="false">5+6*(J$157*$C$156)+2.18*(0.313*J$157)</f>
        <v>14.5716555905512</v>
      </c>
      <c r="K187" s="81" t="n">
        <f aca="false">5+6*(K$157*$C$156)+2.18*(0.313*K$157)</f>
        <v>15.9390349606299</v>
      </c>
      <c r="L187" s="81" t="n">
        <f aca="false">5+6*(L$157*$C$156)+2.18*(0.313*L$157)</f>
        <v>17.3064143307087</v>
      </c>
      <c r="M187" s="81" t="n">
        <f aca="false">5+6*(M$157*$C$156)+2.18*(0.313*M$157)</f>
        <v>18.6737937007874</v>
      </c>
      <c r="N187" s="81" t="n">
        <f aca="false">5+6*(N$157*$C$156)+2.18*(0.313*N$157)</f>
        <v>20.0411730708661</v>
      </c>
      <c r="O187" s="81" t="n">
        <f aca="false">5+6*(O$157*$C$156)+2.18*(0.313*O$157)</f>
        <v>21.4085524409449</v>
      </c>
      <c r="P187" s="81" t="n">
        <f aca="false">5+6*(P$157*$C$156)+2.18*(0.313*P$157)</f>
        <v>22.7759318110236</v>
      </c>
      <c r="Q187" s="81" t="n">
        <f aca="false">5+6*(Q$157*$C$156)+2.18*(0.313*Q$157)</f>
        <v>24.1433111811024</v>
      </c>
      <c r="R187" s="81" t="n">
        <f aca="false">5+6*(R$157*$C$156)+2.18*(0.313*R$157)</f>
        <v>25.5106905511811</v>
      </c>
      <c r="S187" s="81" t="n">
        <f aca="false">5+6*(S$157*$C$156)+2.18*(0.313*S$157)</f>
        <v>26.8780699212598</v>
      </c>
      <c r="T187" s="81" t="n">
        <f aca="false">5+6*(T$157*$C$156)+2.18*(0.313*T$157)</f>
        <v>28.2454492913386</v>
      </c>
      <c r="U187" s="81" t="n">
        <f aca="false">5+6*(U$157*$C$156)+2.18*(0.313*U$157)</f>
        <v>29.6128286614173</v>
      </c>
      <c r="V187" s="81" t="n">
        <f aca="false">5+6*(V$157*$C$156)+2.18*(0.313*V$157)</f>
        <v>30.9802080314961</v>
      </c>
      <c r="W187" s="81" t="n">
        <f aca="false">5+6*(W$157*$C$156)+2.18*(0.313*W$157)</f>
        <v>32.3475874015748</v>
      </c>
      <c r="X187" s="81" t="n">
        <f aca="false">5+6*(X$157*$C$156)+2.18*(0.313*X$157)</f>
        <v>33.7149667716536</v>
      </c>
      <c r="Y187" s="81" t="n">
        <f aca="false">5+6*(Y$157*$C$156)+2.18*(0.313*Y$157)</f>
        <v>35.0823461417323</v>
      </c>
      <c r="Z187" s="81" t="n">
        <f aca="false">5+6*(Z$157*$C$156)+2.18*(0.313*Z$157)</f>
        <v>36.449725511811</v>
      </c>
      <c r="AA187" s="81" t="n">
        <f aca="false">5+6*(AA$157*$C$156)+2.18*(0.313*AA$157)</f>
        <v>37.8171048818898</v>
      </c>
    </row>
    <row r="188" customFormat="false" ht="15" hidden="false" customHeight="false" outlineLevel="0" collapsed="false">
      <c r="A188" s="16" t="n">
        <v>31</v>
      </c>
      <c r="B188" s="46" t="str">
        <f aca="false">'Stitch Library'!B36</f>
        <v>514 (3/16") 2 Ndl Overedge</v>
      </c>
      <c r="H188" s="81" t="n">
        <f aca="false">5+6*(H$157*$C$156)+4*(0.188*H$157)</f>
        <v>12.1851968503937</v>
      </c>
      <c r="I188" s="81" t="n">
        <f aca="false">5+6*(I$157*$C$156)+4*(0.188*I$157)</f>
        <v>13.6222362204724</v>
      </c>
      <c r="J188" s="81" t="n">
        <f aca="false">5+6*(J$157*$C$156)+4*(0.188*J$157)</f>
        <v>15.0592755905512</v>
      </c>
      <c r="K188" s="81" t="n">
        <f aca="false">5+6*(K$157*$C$156)+4*(0.188*K$157)</f>
        <v>16.4963149606299</v>
      </c>
      <c r="L188" s="81" t="n">
        <f aca="false">5+6*(L$157*$C$156)+4*(0.188*L$157)</f>
        <v>17.9333543307087</v>
      </c>
      <c r="M188" s="81" t="n">
        <f aca="false">5+6*(M$157*$C$156)+4*(0.188*M$157)</f>
        <v>19.3703937007874</v>
      </c>
      <c r="N188" s="81" t="n">
        <f aca="false">5+6*(N$157*$C$156)+4*(0.188*N$157)</f>
        <v>20.8074330708661</v>
      </c>
      <c r="O188" s="81" t="n">
        <f aca="false">5+6*(O$157*$C$156)+4*(0.188*O$157)</f>
        <v>22.2444724409449</v>
      </c>
      <c r="P188" s="81" t="n">
        <f aca="false">5+6*(P$157*$C$156)+4*(0.188*P$157)</f>
        <v>23.6815118110236</v>
      </c>
      <c r="Q188" s="81" t="n">
        <f aca="false">5+6*(Q$157*$C$156)+4*(0.188*Q$157)</f>
        <v>25.1185511811024</v>
      </c>
      <c r="R188" s="81" t="n">
        <f aca="false">5+6*(R$157*$C$156)+4*(0.188*R$157)</f>
        <v>26.5555905511811</v>
      </c>
      <c r="S188" s="81" t="n">
        <f aca="false">5+6*(S$157*$C$156)+4*(0.188*S$157)</f>
        <v>27.9926299212598</v>
      </c>
      <c r="T188" s="81" t="n">
        <f aca="false">5+6*(T$157*$C$156)+4*(0.188*T$157)</f>
        <v>29.4296692913386</v>
      </c>
      <c r="U188" s="81" t="n">
        <f aca="false">5+6*(U$157*$C$156)+4*(0.188*U$157)</f>
        <v>30.8667086614173</v>
      </c>
      <c r="V188" s="81" t="n">
        <f aca="false">5+6*(V$157*$C$156)+4*(0.188*V$157)</f>
        <v>32.3037480314961</v>
      </c>
      <c r="W188" s="81" t="n">
        <f aca="false">5+6*(W$157*$C$156)+4*(0.188*W$157)</f>
        <v>33.7407874015748</v>
      </c>
      <c r="X188" s="81" t="n">
        <f aca="false">5+6*(X$157*$C$156)+4*(0.188*X$157)</f>
        <v>35.1778267716535</v>
      </c>
      <c r="Y188" s="81" t="n">
        <f aca="false">5+6*(Y$157*$C$156)+4*(0.188*Y$157)</f>
        <v>36.6148661417323</v>
      </c>
      <c r="Z188" s="81" t="n">
        <f aca="false">5+6*(Z$157*$C$156)+4*(0.188*Z$157)</f>
        <v>38.051905511811</v>
      </c>
      <c r="AA188" s="81" t="n">
        <f aca="false">5+6*(AA$157*$C$156)+4*(0.188*AA$157)</f>
        <v>39.4889448818898</v>
      </c>
    </row>
    <row r="189" customFormat="false" ht="15" hidden="false" customHeight="false" outlineLevel="0" collapsed="false">
      <c r="A189" s="16" t="n">
        <v>32</v>
      </c>
      <c r="B189" s="46" t="str">
        <f aca="false">'Stitch Library'!B37</f>
        <v>514 (1/4") 2 Ndl Overedge</v>
      </c>
      <c r="H189" s="81" t="n">
        <f aca="false">5+6*(H$157*$C$156)+4*(0.25*H$157)</f>
        <v>13.4251968503937</v>
      </c>
      <c r="I189" s="81" t="n">
        <f aca="false">5+6*(I$157*$C$156)+4*(0.25*I$157)</f>
        <v>15.1102362204724</v>
      </c>
      <c r="J189" s="81" t="n">
        <f aca="false">5+6*(J$157*$C$156)+4*(0.25*J$157)</f>
        <v>16.7952755905512</v>
      </c>
      <c r="K189" s="81" t="n">
        <f aca="false">5+6*(K$157*$C$156)+4*(0.25*K$157)</f>
        <v>18.4803149606299</v>
      </c>
      <c r="L189" s="81" t="n">
        <f aca="false">5+6*(L$157*$C$156)+4*(0.25*L$157)</f>
        <v>20.1653543307087</v>
      </c>
      <c r="M189" s="81" t="n">
        <f aca="false">5+6*(M$157*$C$156)+4*(0.25*M$157)</f>
        <v>21.8503937007874</v>
      </c>
      <c r="N189" s="81" t="n">
        <f aca="false">5+6*(N$157*$C$156)+4*(0.25*N$157)</f>
        <v>23.5354330708661</v>
      </c>
      <c r="O189" s="81" t="n">
        <f aca="false">5+6*(O$157*$C$156)+4*(0.25*O$157)</f>
        <v>25.2204724409449</v>
      </c>
      <c r="P189" s="81" t="n">
        <f aca="false">5+6*(P$157*$C$156)+4*(0.25*P$157)</f>
        <v>26.9055118110236</v>
      </c>
      <c r="Q189" s="81" t="n">
        <f aca="false">5+6*(Q$157*$C$156)+4*(0.25*Q$157)</f>
        <v>28.5905511811024</v>
      </c>
      <c r="R189" s="81" t="n">
        <f aca="false">5+6*(R$157*$C$156)+4*(0.25*R$157)</f>
        <v>30.2755905511811</v>
      </c>
      <c r="S189" s="81" t="n">
        <f aca="false">5+6*(S$157*$C$156)+4*(0.25*S$157)</f>
        <v>31.9606299212598</v>
      </c>
      <c r="T189" s="81" t="n">
        <f aca="false">5+6*(T$157*$C$156)+4*(0.25*T$157)</f>
        <v>33.6456692913386</v>
      </c>
      <c r="U189" s="81" t="n">
        <f aca="false">5+6*(U$157*$C$156)+4*(0.25*U$157)</f>
        <v>35.3307086614173</v>
      </c>
      <c r="V189" s="81" t="n">
        <f aca="false">5+6*(V$157*$C$156)+4*(0.25*V$157)</f>
        <v>37.0157480314961</v>
      </c>
      <c r="W189" s="81" t="n">
        <f aca="false">5+6*(W$157*$C$156)+4*(0.25*W$157)</f>
        <v>38.7007874015748</v>
      </c>
      <c r="X189" s="81" t="n">
        <f aca="false">5+6*(X$157*$C$156)+4*(0.25*X$157)</f>
        <v>40.3858267716535</v>
      </c>
      <c r="Y189" s="81" t="n">
        <f aca="false">5+6*(Y$157*$C$156)+4*(0.25*Y$157)</f>
        <v>42.0708661417323</v>
      </c>
      <c r="Z189" s="81" t="n">
        <f aca="false">5+6*(Z$157*$C$156)+4*(0.25*Z$157)</f>
        <v>43.755905511811</v>
      </c>
      <c r="AA189" s="81" t="n">
        <f aca="false">5+6*(AA$157*$C$156)+4*(0.25*AA$157)</f>
        <v>45.4409448818898</v>
      </c>
    </row>
    <row r="190" customFormat="false" ht="15" hidden="false" customHeight="false" outlineLevel="0" collapsed="false">
      <c r="A190" s="16" t="n">
        <v>33</v>
      </c>
      <c r="B190" s="46" t="str">
        <f aca="false">'Stitch Library'!B38</f>
        <v>514 (5/16") 2 Ndl Overedge</v>
      </c>
      <c r="H190" s="81" t="n">
        <f aca="false">5+6*(H$157*$C$156)+4*(0.313*H$157)</f>
        <v>14.6851968503937</v>
      </c>
      <c r="I190" s="81" t="n">
        <f aca="false">5+6*(I$157*$C$156)+4*(0.313*I$157)</f>
        <v>16.6222362204724</v>
      </c>
      <c r="J190" s="81" t="n">
        <f aca="false">5+6*(J$157*$C$156)+4*(0.313*J$157)</f>
        <v>18.5592755905512</v>
      </c>
      <c r="K190" s="81" t="n">
        <f aca="false">5+6*(K$157*$C$156)+4*(0.313*K$157)</f>
        <v>20.4963149606299</v>
      </c>
      <c r="L190" s="81" t="n">
        <f aca="false">5+6*(L$157*$C$156)+4*(0.313*L$157)</f>
        <v>22.4333543307087</v>
      </c>
      <c r="M190" s="81" t="n">
        <f aca="false">5+6*(M$157*$C$156)+4*(0.313*M$157)</f>
        <v>24.3703937007874</v>
      </c>
      <c r="N190" s="81" t="n">
        <f aca="false">5+6*(N$157*$C$156)+4*(0.313*N$157)</f>
        <v>26.3074330708661</v>
      </c>
      <c r="O190" s="81" t="n">
        <f aca="false">5+6*(O$157*$C$156)+4*(0.313*O$157)</f>
        <v>28.2444724409449</v>
      </c>
      <c r="P190" s="81" t="n">
        <f aca="false">5+6*(P$157*$C$156)+4*(0.313*P$157)</f>
        <v>30.1815118110236</v>
      </c>
      <c r="Q190" s="81" t="n">
        <f aca="false">5+6*(Q$157*$C$156)+4*(0.313*Q$157)</f>
        <v>32.1185511811024</v>
      </c>
      <c r="R190" s="81" t="n">
        <f aca="false">5+6*(R$157*$C$156)+4*(0.313*R$157)</f>
        <v>34.0555905511811</v>
      </c>
      <c r="S190" s="81" t="n">
        <f aca="false">5+6*(S$157*$C$156)+4*(0.313*S$157)</f>
        <v>35.9926299212598</v>
      </c>
      <c r="T190" s="81" t="n">
        <f aca="false">5+6*(T$157*$C$156)+4*(0.313*T$157)</f>
        <v>37.9296692913386</v>
      </c>
      <c r="U190" s="81" t="n">
        <f aca="false">5+6*(U$157*$C$156)+4*(0.313*U$157)</f>
        <v>39.8667086614173</v>
      </c>
      <c r="V190" s="81" t="n">
        <f aca="false">5+6*(V$157*$C$156)+4*(0.313*V$157)</f>
        <v>41.8037480314961</v>
      </c>
      <c r="W190" s="81" t="n">
        <f aca="false">5+6*(W$157*$C$156)+4*(0.313*W$157)</f>
        <v>43.7407874015748</v>
      </c>
      <c r="X190" s="81" t="n">
        <f aca="false">5+6*(X$157*$C$156)+4*(0.313*X$157)</f>
        <v>45.6778267716535</v>
      </c>
      <c r="Y190" s="81" t="n">
        <f aca="false">5+6*(Y$157*$C$156)+4*(0.313*Y$157)</f>
        <v>47.6148661417323</v>
      </c>
      <c r="Z190" s="81" t="n">
        <f aca="false">5+6*(Z$157*$C$156)+4*(0.313*Z$157)</f>
        <v>49.551905511811</v>
      </c>
      <c r="AA190" s="81" t="n">
        <f aca="false">5+6*(AA$157*$C$156)+4*(0.313*AA$157)</f>
        <v>51.4889448818898</v>
      </c>
    </row>
    <row r="191" customFormat="false" ht="15" hidden="false" customHeight="false" outlineLevel="0" collapsed="false">
      <c r="A191" s="16" t="n">
        <v>34</v>
      </c>
      <c r="B191" s="46" t="str">
        <f aca="false">'Stitch Library'!B39</f>
        <v>515/401 Safetystitch Chain</v>
      </c>
      <c r="H191" s="81" t="n">
        <f aca="false">H171</f>
        <v>5.14173228346457</v>
      </c>
      <c r="I191" s="81" t="n">
        <f aca="false">I171</f>
        <v>5.37007874015748</v>
      </c>
      <c r="J191" s="81" t="n">
        <f aca="false">J171</f>
        <v>5.59842519685039</v>
      </c>
      <c r="K191" s="81" t="n">
        <f aca="false">K171</f>
        <v>5.82677165354331</v>
      </c>
      <c r="L191" s="81" t="n">
        <f aca="false">L171</f>
        <v>6.05511811023622</v>
      </c>
      <c r="M191" s="81" t="n">
        <f aca="false">M171</f>
        <v>6.28346456692913</v>
      </c>
      <c r="N191" s="81" t="n">
        <f aca="false">N171</f>
        <v>6.51181102362205</v>
      </c>
      <c r="O191" s="81" t="n">
        <f aca="false">O171</f>
        <v>6.74015748031496</v>
      </c>
      <c r="P191" s="81" t="n">
        <f aca="false">P171</f>
        <v>6.96850393700787</v>
      </c>
      <c r="Q191" s="81" t="n">
        <f aca="false">Q171</f>
        <v>7.19685039370079</v>
      </c>
      <c r="R191" s="81" t="n">
        <f aca="false">R171</f>
        <v>7.4251968503937</v>
      </c>
      <c r="S191" s="81" t="n">
        <f aca="false">S171</f>
        <v>7.65354330708662</v>
      </c>
      <c r="T191" s="81" t="n">
        <f aca="false">T171</f>
        <v>7.88188976377953</v>
      </c>
      <c r="U191" s="81" t="n">
        <f aca="false">U171</f>
        <v>8.11023622047244</v>
      </c>
      <c r="V191" s="81" t="n">
        <f aca="false">V171</f>
        <v>8.33858267716536</v>
      </c>
      <c r="W191" s="81" t="n">
        <f aca="false">W171</f>
        <v>8.56692913385827</v>
      </c>
      <c r="X191" s="81" t="n">
        <f aca="false">X171</f>
        <v>8.79527559055118</v>
      </c>
      <c r="Y191" s="81" t="n">
        <f aca="false">Y171</f>
        <v>9.02362204724409</v>
      </c>
      <c r="Z191" s="81" t="n">
        <f aca="false">Z171</f>
        <v>9.25196850393701</v>
      </c>
      <c r="AA191" s="81" t="n">
        <f aca="false">AA171</f>
        <v>9.48031496062992</v>
      </c>
    </row>
    <row r="192" customFormat="false" ht="15" hidden="false" customHeight="false" outlineLevel="0" collapsed="false">
      <c r="A192" s="16" t="n">
        <v>35</v>
      </c>
      <c r="B192" s="46" t="str">
        <f aca="false">'Stitch Library'!B40</f>
        <v>515/503 SafetyS Overedge</v>
      </c>
      <c r="H192" s="81" t="n">
        <f aca="false">H180</f>
        <v>8.04346456692914</v>
      </c>
      <c r="I192" s="81" t="n">
        <f aca="false">I180</f>
        <v>9.25215748031496</v>
      </c>
      <c r="J192" s="81" t="n">
        <f aca="false">J180</f>
        <v>10.4608503937008</v>
      </c>
      <c r="K192" s="81" t="n">
        <f aca="false">K180</f>
        <v>11.6695433070866</v>
      </c>
      <c r="L192" s="81" t="n">
        <f aca="false">L180</f>
        <v>12.8782362204724</v>
      </c>
      <c r="M192" s="81" t="n">
        <f aca="false">M180</f>
        <v>14.0869291338583</v>
      </c>
      <c r="N192" s="81" t="n">
        <f aca="false">N180</f>
        <v>15.2956220472441</v>
      </c>
      <c r="O192" s="81" t="n">
        <f aca="false">O180</f>
        <v>16.5043149606299</v>
      </c>
      <c r="P192" s="81" t="n">
        <f aca="false">P180</f>
        <v>17.7130078740158</v>
      </c>
      <c r="Q192" s="81" t="n">
        <f aca="false">Q180</f>
        <v>18.9217007874016</v>
      </c>
      <c r="R192" s="81" t="n">
        <f aca="false">R180</f>
        <v>20.1303937007874</v>
      </c>
      <c r="S192" s="81" t="n">
        <f aca="false">S180</f>
        <v>21.3390866141732</v>
      </c>
      <c r="T192" s="81" t="n">
        <f aca="false">T180</f>
        <v>22.5477795275591</v>
      </c>
      <c r="U192" s="81" t="n">
        <f aca="false">U180</f>
        <v>23.7564724409449</v>
      </c>
      <c r="V192" s="81" t="n">
        <f aca="false">V180</f>
        <v>24.9651653543307</v>
      </c>
      <c r="W192" s="81" t="n">
        <f aca="false">W180</f>
        <v>26.1738582677165</v>
      </c>
      <c r="X192" s="81" t="n">
        <f aca="false">X180</f>
        <v>27.3825511811024</v>
      </c>
      <c r="Y192" s="81" t="n">
        <f aca="false">Y180</f>
        <v>28.5912440944882</v>
      </c>
      <c r="Z192" s="81" t="n">
        <f aca="false">Z180</f>
        <v>29.799937007874</v>
      </c>
      <c r="AA192" s="81" t="n">
        <f aca="false">AA180</f>
        <v>31.0086299212598</v>
      </c>
    </row>
    <row r="193" customFormat="false" ht="15" hidden="false" customHeight="false" outlineLevel="0" collapsed="false">
      <c r="A193" s="16" t="n">
        <v>36</v>
      </c>
      <c r="B193" s="46" t="str">
        <f aca="false">'Stitch Library'!B41</f>
        <v>515 /Both Safetystitch</v>
      </c>
      <c r="H193" s="81" t="n">
        <f aca="false">H171+H180</f>
        <v>13.1851968503937</v>
      </c>
      <c r="I193" s="81" t="n">
        <f aca="false">I171+I180</f>
        <v>14.6222362204724</v>
      </c>
      <c r="J193" s="81" t="n">
        <f aca="false">J171+J180</f>
        <v>16.0592755905512</v>
      </c>
      <c r="K193" s="81" t="n">
        <f aca="false">K171+K180</f>
        <v>17.4963149606299</v>
      </c>
      <c r="L193" s="81" t="n">
        <f aca="false">L171+L180</f>
        <v>18.9333543307087</v>
      </c>
      <c r="M193" s="81" t="n">
        <f aca="false">M171+M180</f>
        <v>20.3703937007874</v>
      </c>
      <c r="N193" s="81" t="n">
        <f aca="false">N171+N180</f>
        <v>21.8074330708661</v>
      </c>
      <c r="O193" s="81" t="n">
        <f aca="false">O171+O180</f>
        <v>23.2444724409449</v>
      </c>
      <c r="P193" s="81" t="n">
        <f aca="false">P171+P180</f>
        <v>24.6815118110236</v>
      </c>
      <c r="Q193" s="81" t="n">
        <f aca="false">Q171+Q180</f>
        <v>26.1185511811024</v>
      </c>
      <c r="R193" s="81" t="n">
        <f aca="false">R171+R180</f>
        <v>27.5555905511811</v>
      </c>
      <c r="S193" s="81" t="n">
        <f aca="false">S171+S180</f>
        <v>28.9926299212598</v>
      </c>
      <c r="T193" s="81" t="n">
        <f aca="false">T171+T180</f>
        <v>30.4296692913386</v>
      </c>
      <c r="U193" s="81" t="n">
        <f aca="false">U171+U180</f>
        <v>31.8667086614173</v>
      </c>
      <c r="V193" s="81" t="n">
        <f aca="false">V171+V180</f>
        <v>33.3037480314961</v>
      </c>
      <c r="W193" s="81" t="n">
        <f aca="false">W171+W180</f>
        <v>34.7407874015748</v>
      </c>
      <c r="X193" s="81" t="n">
        <f aca="false">X171+X180</f>
        <v>36.1778267716535</v>
      </c>
      <c r="Y193" s="81" t="n">
        <f aca="false">Y171+Y180</f>
        <v>37.6148661417323</v>
      </c>
      <c r="Z193" s="81" t="n">
        <f aca="false">Z171+Z180</f>
        <v>39.051905511811</v>
      </c>
      <c r="AA193" s="81" t="n">
        <f aca="false">AA171+AA180</f>
        <v>40.4889448818898</v>
      </c>
    </row>
    <row r="194" customFormat="false" ht="15" hidden="false" customHeight="false" outlineLevel="0" collapsed="false">
      <c r="A194" s="16" t="n">
        <v>37</v>
      </c>
      <c r="B194" s="46" t="str">
        <f aca="false">'Stitch Library'!B42</f>
        <v>516 / 401 SafetyS Chain</v>
      </c>
      <c r="H194" s="81" t="n">
        <f aca="false">H171</f>
        <v>5.14173228346457</v>
      </c>
      <c r="I194" s="81" t="n">
        <f aca="false">I171</f>
        <v>5.37007874015748</v>
      </c>
      <c r="J194" s="81" t="n">
        <f aca="false">J171</f>
        <v>5.59842519685039</v>
      </c>
      <c r="K194" s="81" t="n">
        <f aca="false">K171</f>
        <v>5.82677165354331</v>
      </c>
      <c r="L194" s="81" t="n">
        <f aca="false">L171</f>
        <v>6.05511811023622</v>
      </c>
      <c r="M194" s="81" t="n">
        <f aca="false">M171</f>
        <v>6.28346456692913</v>
      </c>
      <c r="N194" s="81" t="n">
        <f aca="false">N171</f>
        <v>6.51181102362205</v>
      </c>
      <c r="O194" s="81" t="n">
        <f aca="false">O171</f>
        <v>6.74015748031496</v>
      </c>
      <c r="P194" s="81" t="n">
        <f aca="false">P171</f>
        <v>6.96850393700787</v>
      </c>
      <c r="Q194" s="81" t="n">
        <f aca="false">Q171</f>
        <v>7.19685039370079</v>
      </c>
      <c r="R194" s="81" t="n">
        <f aca="false">R171</f>
        <v>7.4251968503937</v>
      </c>
      <c r="S194" s="81" t="n">
        <f aca="false">S171</f>
        <v>7.65354330708662</v>
      </c>
      <c r="T194" s="81" t="n">
        <f aca="false">T171</f>
        <v>7.88188976377953</v>
      </c>
      <c r="U194" s="81" t="n">
        <f aca="false">U171</f>
        <v>8.11023622047244</v>
      </c>
      <c r="V194" s="81" t="n">
        <f aca="false">V171</f>
        <v>8.33858267716536</v>
      </c>
      <c r="W194" s="81" t="n">
        <f aca="false">W171</f>
        <v>8.56692913385827</v>
      </c>
      <c r="X194" s="81" t="n">
        <f aca="false">X171</f>
        <v>8.79527559055118</v>
      </c>
      <c r="Y194" s="81" t="n">
        <f aca="false">Y171</f>
        <v>9.02362204724409</v>
      </c>
      <c r="Z194" s="81" t="n">
        <f aca="false">Z171</f>
        <v>9.25196850393701</v>
      </c>
      <c r="AA194" s="81" t="n">
        <f aca="false">AA171</f>
        <v>9.48031496062992</v>
      </c>
    </row>
    <row r="195" customFormat="false" ht="15" hidden="false" customHeight="false" outlineLevel="0" collapsed="false">
      <c r="A195" s="16" t="n">
        <v>38</v>
      </c>
      <c r="B195" s="46" t="str">
        <f aca="false">'Stitch Library'!B43</f>
        <v>516 / 504 SafetyS Overedge</v>
      </c>
      <c r="H195" s="81" t="n">
        <f aca="false">H184</f>
        <v>12.2834645669291</v>
      </c>
      <c r="I195" s="81" t="n">
        <f aca="false">I184</f>
        <v>13.740157480315</v>
      </c>
      <c r="J195" s="81" t="n">
        <f aca="false">J184</f>
        <v>15.1968503937008</v>
      </c>
      <c r="K195" s="81" t="n">
        <f aca="false">K184</f>
        <v>16.6535433070866</v>
      </c>
      <c r="L195" s="81" t="n">
        <f aca="false">L184</f>
        <v>18.1102362204724</v>
      </c>
      <c r="M195" s="81" t="n">
        <f aca="false">M184</f>
        <v>19.5669291338583</v>
      </c>
      <c r="N195" s="81" t="n">
        <f aca="false">N184</f>
        <v>21.0236220472441</v>
      </c>
      <c r="O195" s="81" t="n">
        <f aca="false">O184</f>
        <v>22.4803149606299</v>
      </c>
      <c r="P195" s="81" t="n">
        <f aca="false">P184</f>
        <v>23.9370078740157</v>
      </c>
      <c r="Q195" s="81" t="n">
        <f aca="false">Q184</f>
        <v>25.3937007874016</v>
      </c>
      <c r="R195" s="81" t="n">
        <f aca="false">R184</f>
        <v>26.8503937007874</v>
      </c>
      <c r="S195" s="81" t="n">
        <f aca="false">S184</f>
        <v>28.3070866141732</v>
      </c>
      <c r="T195" s="81" t="n">
        <f aca="false">T184</f>
        <v>29.7637795275591</v>
      </c>
      <c r="U195" s="81" t="n">
        <f aca="false">U184</f>
        <v>31.2204724409449</v>
      </c>
      <c r="V195" s="81" t="n">
        <f aca="false">V184</f>
        <v>32.6771653543307</v>
      </c>
      <c r="W195" s="81" t="n">
        <f aca="false">W184</f>
        <v>34.1338582677165</v>
      </c>
      <c r="X195" s="81" t="n">
        <f aca="false">X184</f>
        <v>35.5905511811024</v>
      </c>
      <c r="Y195" s="81" t="n">
        <f aca="false">Y184</f>
        <v>37.0472440944882</v>
      </c>
      <c r="Z195" s="81" t="n">
        <f aca="false">Z184</f>
        <v>38.503937007874</v>
      </c>
      <c r="AA195" s="81" t="n">
        <f aca="false">AA184</f>
        <v>39.9606299212598</v>
      </c>
    </row>
    <row r="196" customFormat="false" ht="15" hidden="false" customHeight="false" outlineLevel="0" collapsed="false">
      <c r="A196" s="16" t="n">
        <v>39</v>
      </c>
      <c r="B196" s="46" t="str">
        <f aca="false">'Stitch Library'!B44</f>
        <v>516 /Both Safetystitch</v>
      </c>
      <c r="H196" s="81" t="n">
        <f aca="false">H194+H195</f>
        <v>17.4251968503937</v>
      </c>
      <c r="I196" s="81" t="n">
        <f aca="false">I194+I195</f>
        <v>19.1102362204724</v>
      </c>
      <c r="J196" s="81" t="n">
        <f aca="false">J194+J195</f>
        <v>20.7952755905512</v>
      </c>
      <c r="K196" s="81" t="n">
        <f aca="false">K194+K195</f>
        <v>22.4803149606299</v>
      </c>
      <c r="L196" s="81" t="n">
        <f aca="false">L194+L195</f>
        <v>24.1653543307087</v>
      </c>
      <c r="M196" s="81" t="n">
        <f aca="false">M194+M195</f>
        <v>25.8503937007874</v>
      </c>
      <c r="N196" s="81" t="n">
        <f aca="false">N194+N195</f>
        <v>27.5354330708661</v>
      </c>
      <c r="O196" s="81" t="n">
        <f aca="false">O194+O195</f>
        <v>29.2204724409449</v>
      </c>
      <c r="P196" s="81" t="n">
        <f aca="false">P194+P195</f>
        <v>30.9055118110236</v>
      </c>
      <c r="Q196" s="81" t="n">
        <f aca="false">Q194+Q195</f>
        <v>32.5905511811024</v>
      </c>
      <c r="R196" s="81" t="n">
        <f aca="false">R194+R195</f>
        <v>34.2755905511811</v>
      </c>
      <c r="S196" s="81" t="n">
        <f aca="false">S194+S195</f>
        <v>35.9606299212598</v>
      </c>
      <c r="T196" s="81" t="n">
        <f aca="false">T194+T195</f>
        <v>37.6456692913386</v>
      </c>
      <c r="U196" s="81" t="n">
        <f aca="false">U194+U195</f>
        <v>39.3307086614173</v>
      </c>
      <c r="V196" s="81" t="n">
        <f aca="false">V194+V195</f>
        <v>41.0157480314961</v>
      </c>
      <c r="W196" s="81" t="n">
        <f aca="false">W194+W195</f>
        <v>42.7007874015748</v>
      </c>
      <c r="X196" s="81" t="n">
        <f aca="false">X194+X195</f>
        <v>44.3858267716535</v>
      </c>
      <c r="Y196" s="81" t="n">
        <f aca="false">Y194+Y195</f>
        <v>46.0708661417323</v>
      </c>
      <c r="Z196" s="81" t="n">
        <f aca="false">Z194+Z195</f>
        <v>47.755905511811</v>
      </c>
      <c r="AA196" s="81" t="n">
        <f aca="false">AA194+AA195</f>
        <v>49.4409448818898</v>
      </c>
    </row>
    <row r="197" customFormat="false" ht="15" hidden="false" customHeight="false" outlineLevel="0" collapsed="false">
      <c r="A197" s="16" t="n">
        <v>40</v>
      </c>
      <c r="B197" s="46" t="str">
        <f aca="false">'Stitch Library'!B45</f>
        <v>517 / 301 SafetyS Lockstitch</v>
      </c>
      <c r="H197" s="81" t="n">
        <f aca="false">2+2*($C$156*H$157)</f>
        <v>3.14173228346457</v>
      </c>
      <c r="I197" s="81" t="n">
        <f aca="false">2+2*($C$156*I$157)</f>
        <v>3.37007874015748</v>
      </c>
      <c r="J197" s="81" t="n">
        <f aca="false">2+2*($C$156*J$157)</f>
        <v>3.59842519685039</v>
      </c>
      <c r="K197" s="81" t="n">
        <f aca="false">2+2*($C$156*K$157)</f>
        <v>3.82677165354331</v>
      </c>
      <c r="L197" s="81" t="n">
        <f aca="false">2+2*($C$156*L$157)</f>
        <v>4.05511811023622</v>
      </c>
      <c r="M197" s="81" t="n">
        <f aca="false">2+2*($C$156*M$157)</f>
        <v>4.28346456692913</v>
      </c>
      <c r="N197" s="81" t="n">
        <f aca="false">2+2*($C$156*N$157)</f>
        <v>4.51181102362205</v>
      </c>
      <c r="O197" s="81" t="n">
        <f aca="false">2+2*($C$156*O$157)</f>
        <v>4.74015748031496</v>
      </c>
      <c r="P197" s="81" t="n">
        <f aca="false">2+2*($C$156*P$157)</f>
        <v>4.96850393700787</v>
      </c>
      <c r="Q197" s="81" t="n">
        <f aca="false">2+2*($C$156*Q$157)</f>
        <v>5.19685039370079</v>
      </c>
      <c r="R197" s="81" t="n">
        <f aca="false">2+2*($C$156*R$157)</f>
        <v>5.4251968503937</v>
      </c>
      <c r="S197" s="81" t="n">
        <f aca="false">2+2*($C$156*S$157)</f>
        <v>5.65354330708662</v>
      </c>
      <c r="T197" s="81" t="n">
        <f aca="false">2+2*($C$156*T$157)</f>
        <v>5.88188976377953</v>
      </c>
      <c r="U197" s="81" t="n">
        <f aca="false">2+2*($C$156*U$157)</f>
        <v>6.11023622047244</v>
      </c>
      <c r="V197" s="81" t="n">
        <f aca="false">2+2*($C$156*V$157)</f>
        <v>6.33858267716536</v>
      </c>
      <c r="W197" s="81" t="n">
        <f aca="false">2+2*($C$156*W$157)</f>
        <v>6.56692913385827</v>
      </c>
      <c r="X197" s="81" t="n">
        <f aca="false">2+2*($C$156*X$157)</f>
        <v>6.79527559055118</v>
      </c>
      <c r="Y197" s="81" t="n">
        <f aca="false">2+2*($C$156*Y$157)</f>
        <v>7.02362204724409</v>
      </c>
      <c r="Z197" s="81" t="n">
        <f aca="false">2+2*($C$156*Z$157)</f>
        <v>7.25196850393701</v>
      </c>
      <c r="AA197" s="81" t="n">
        <f aca="false">2+2*($C$156*AA$157)</f>
        <v>7.48031496062992</v>
      </c>
    </row>
    <row r="198" customFormat="false" ht="15" hidden="false" customHeight="false" outlineLevel="0" collapsed="false">
      <c r="A198" s="16" t="n">
        <v>41</v>
      </c>
      <c r="B198" s="46" t="str">
        <f aca="false">'Stitch Library'!B46</f>
        <v>517 / 504 SafetyS Overedge</v>
      </c>
      <c r="H198" s="81" t="n">
        <f aca="false">4*(H$157*(0.188+$C$156))+5</f>
        <v>11.0434645669291</v>
      </c>
      <c r="I198" s="81" t="n">
        <f aca="false">4*(I$157*(0.188+$C$156))+5</f>
        <v>12.252157480315</v>
      </c>
      <c r="J198" s="81" t="n">
        <f aca="false">4*(J$157*(0.188+$C$156))+5</f>
        <v>13.4608503937008</v>
      </c>
      <c r="K198" s="81" t="n">
        <f aca="false">4*(K$157*(0.188+$C$156))+5</f>
        <v>14.6695433070866</v>
      </c>
      <c r="L198" s="81" t="n">
        <f aca="false">4*(L$157*(0.188+$C$156))+5</f>
        <v>15.8782362204724</v>
      </c>
      <c r="M198" s="81" t="n">
        <f aca="false">4*(M$157*(0.188+$C$156))+5</f>
        <v>17.0869291338583</v>
      </c>
      <c r="N198" s="81" t="n">
        <f aca="false">4*(N$157*(0.188+$C$156))+5</f>
        <v>18.2956220472441</v>
      </c>
      <c r="O198" s="81" t="n">
        <f aca="false">4*(O$157*(0.188+$C$156))+5</f>
        <v>19.5043149606299</v>
      </c>
      <c r="P198" s="81" t="n">
        <f aca="false">4*(P$157*(0.188+$C$156))+5</f>
        <v>20.7130078740158</v>
      </c>
      <c r="Q198" s="81" t="n">
        <f aca="false">4*(Q$157*(0.188+$C$156))+5</f>
        <v>21.9217007874016</v>
      </c>
      <c r="R198" s="81" t="n">
        <f aca="false">4*(R$157*(0.188+$C$156))+5</f>
        <v>23.1303937007874</v>
      </c>
      <c r="S198" s="81" t="n">
        <f aca="false">4*(S$157*(0.188+$C$156))+5</f>
        <v>24.3390866141732</v>
      </c>
      <c r="T198" s="81" t="n">
        <f aca="false">4*(T$157*(0.188+$C$156))+5</f>
        <v>25.5477795275591</v>
      </c>
      <c r="U198" s="81" t="n">
        <f aca="false">4*(U$157*(0.188+$C$156))+5</f>
        <v>26.7564724409449</v>
      </c>
      <c r="V198" s="81" t="n">
        <f aca="false">4*(V$157*(0.188+$C$156))+5</f>
        <v>27.9651653543307</v>
      </c>
      <c r="W198" s="81" t="n">
        <f aca="false">4*(W$157*(0.188+$C$156))+5</f>
        <v>29.1738582677165</v>
      </c>
      <c r="X198" s="81" t="n">
        <f aca="false">4*(X$157*(0.188+$C$156))+5</f>
        <v>30.3825511811024</v>
      </c>
      <c r="Y198" s="81" t="n">
        <f aca="false">4*(Y$157*(0.188+$C$156))+5</f>
        <v>31.5912440944882</v>
      </c>
      <c r="Z198" s="81" t="n">
        <f aca="false">4*(Z$157*(0.188+$C$156))+5</f>
        <v>32.799937007874</v>
      </c>
      <c r="AA198" s="81" t="n">
        <f aca="false">4*(AA$157*(0.188+$C$156))+5</f>
        <v>34.0086299212598</v>
      </c>
    </row>
    <row r="199" customFormat="false" ht="15" hidden="false" customHeight="false" outlineLevel="0" collapsed="false">
      <c r="A199" s="16" t="n">
        <v>42</v>
      </c>
      <c r="B199" s="46" t="str">
        <f aca="false">'Stitch Library'!B47</f>
        <v>524 (3/16") / 401 &amp; 514 Stitch</v>
      </c>
      <c r="H199" s="81" t="n">
        <f aca="false">H171+H188</f>
        <v>17.3269291338583</v>
      </c>
      <c r="I199" s="81" t="n">
        <f aca="false">I171+I188</f>
        <v>18.9923149606299</v>
      </c>
      <c r="J199" s="81" t="n">
        <f aca="false">J171+J188</f>
        <v>20.6577007874016</v>
      </c>
      <c r="K199" s="81" t="n">
        <f aca="false">K171+K188</f>
        <v>22.3230866141732</v>
      </c>
      <c r="L199" s="81" t="n">
        <f aca="false">L171+L188</f>
        <v>23.9884724409449</v>
      </c>
      <c r="M199" s="81" t="n">
        <f aca="false">M171+M188</f>
        <v>25.6538582677165</v>
      </c>
      <c r="N199" s="81" t="n">
        <f aca="false">N171+N188</f>
        <v>27.3192440944882</v>
      </c>
      <c r="O199" s="81" t="n">
        <f aca="false">O171+O188</f>
        <v>28.9846299212598</v>
      </c>
      <c r="P199" s="81" t="n">
        <f aca="false">P171+P188</f>
        <v>30.6500157480315</v>
      </c>
      <c r="Q199" s="81" t="n">
        <f aca="false">Q171+Q188</f>
        <v>32.3154015748032</v>
      </c>
      <c r="R199" s="81" t="n">
        <f aca="false">R171+R188</f>
        <v>33.9807874015748</v>
      </c>
      <c r="S199" s="81" t="n">
        <f aca="false">S171+S188</f>
        <v>35.6461732283465</v>
      </c>
      <c r="T199" s="81" t="n">
        <f aca="false">T171+T188</f>
        <v>37.3115590551181</v>
      </c>
      <c r="U199" s="81" t="n">
        <f aca="false">U171+U188</f>
        <v>38.9769448818898</v>
      </c>
      <c r="V199" s="81" t="n">
        <f aca="false">V171+V188</f>
        <v>40.6423307086614</v>
      </c>
      <c r="W199" s="81" t="n">
        <f aca="false">W171+W188</f>
        <v>42.3077165354331</v>
      </c>
      <c r="X199" s="81" t="n">
        <f aca="false">X171+X188</f>
        <v>43.9731023622047</v>
      </c>
      <c r="Y199" s="81" t="n">
        <f aca="false">Y171+Y188</f>
        <v>45.6384881889764</v>
      </c>
      <c r="Z199" s="81" t="n">
        <f aca="false">Z171+Z188</f>
        <v>47.303874015748</v>
      </c>
      <c r="AA199" s="81" t="n">
        <f aca="false">AA171+AA188</f>
        <v>48.9692598425197</v>
      </c>
    </row>
    <row r="200" customFormat="false" ht="15" hidden="false" customHeight="false" outlineLevel="0" collapsed="false">
      <c r="A200" s="16" t="n">
        <v>43</v>
      </c>
      <c r="B200" s="46" t="str">
        <f aca="false">'Stitch Library'!B48</f>
        <v>524 (1/4") / 401 &amp; 514 Stitch</v>
      </c>
      <c r="H200" s="81" t="n">
        <f aca="false">H171+H189</f>
        <v>18.5669291338583</v>
      </c>
      <c r="I200" s="81" t="n">
        <f aca="false">I171+I189</f>
        <v>20.4803149606299</v>
      </c>
      <c r="J200" s="81" t="n">
        <f aca="false">J171+J189</f>
        <v>22.3937007874016</v>
      </c>
      <c r="K200" s="81" t="n">
        <f aca="false">K171+K189</f>
        <v>24.3070866141732</v>
      </c>
      <c r="L200" s="81" t="n">
        <f aca="false">L171+L189</f>
        <v>26.2204724409449</v>
      </c>
      <c r="M200" s="81" t="n">
        <f aca="false">M171+M189</f>
        <v>28.1338582677165</v>
      </c>
      <c r="N200" s="81" t="n">
        <f aca="false">N171+N189</f>
        <v>30.0472440944882</v>
      </c>
      <c r="O200" s="81" t="n">
        <f aca="false">O171+O189</f>
        <v>31.9606299212598</v>
      </c>
      <c r="P200" s="81" t="n">
        <f aca="false">P171+P189</f>
        <v>33.8740157480315</v>
      </c>
      <c r="Q200" s="81" t="n">
        <f aca="false">Q171+Q189</f>
        <v>35.7874015748032</v>
      </c>
      <c r="R200" s="81" t="n">
        <f aca="false">R171+R189</f>
        <v>37.7007874015748</v>
      </c>
      <c r="S200" s="81" t="n">
        <f aca="false">S171+S189</f>
        <v>39.6141732283465</v>
      </c>
      <c r="T200" s="81" t="n">
        <f aca="false">T171+T189</f>
        <v>41.5275590551181</v>
      </c>
      <c r="U200" s="81" t="n">
        <f aca="false">U171+U189</f>
        <v>43.4409448818898</v>
      </c>
      <c r="V200" s="81" t="n">
        <f aca="false">V171+V189</f>
        <v>45.3543307086614</v>
      </c>
      <c r="W200" s="81" t="n">
        <f aca="false">W171+W189</f>
        <v>47.2677165354331</v>
      </c>
      <c r="X200" s="81" t="n">
        <f aca="false">X171+X189</f>
        <v>49.1811023622047</v>
      </c>
      <c r="Y200" s="81" t="n">
        <f aca="false">Y171+Y189</f>
        <v>51.0944881889764</v>
      </c>
      <c r="Z200" s="81" t="n">
        <f aca="false">Z171+Z189</f>
        <v>53.007874015748</v>
      </c>
      <c r="AA200" s="81" t="n">
        <f aca="false">AA171+AA189</f>
        <v>54.9212598425197</v>
      </c>
    </row>
    <row r="201" customFormat="false" ht="15" hidden="false" customHeight="false" outlineLevel="0" collapsed="false">
      <c r="A201" s="16" t="n">
        <v>44</v>
      </c>
      <c r="B201" s="46" t="str">
        <f aca="false">'Stitch Library'!B49</f>
        <v>524 (5/16") / 401 &amp; 514 Stitch</v>
      </c>
      <c r="H201" s="81" t="n">
        <f aca="false">H171+H190</f>
        <v>19.8269291338583</v>
      </c>
      <c r="I201" s="81" t="n">
        <f aca="false">I171+I190</f>
        <v>21.9923149606299</v>
      </c>
      <c r="J201" s="81" t="n">
        <f aca="false">J171+J190</f>
        <v>24.1577007874016</v>
      </c>
      <c r="K201" s="81" t="n">
        <f aca="false">K171+K190</f>
        <v>26.3230866141732</v>
      </c>
      <c r="L201" s="81" t="n">
        <f aca="false">L171+L190</f>
        <v>28.4884724409449</v>
      </c>
      <c r="M201" s="81" t="n">
        <f aca="false">M171+M190</f>
        <v>30.6538582677165</v>
      </c>
      <c r="N201" s="81" t="n">
        <f aca="false">N171+N190</f>
        <v>32.8192440944882</v>
      </c>
      <c r="O201" s="81" t="n">
        <f aca="false">O171+O190</f>
        <v>34.9846299212598</v>
      </c>
      <c r="P201" s="81" t="n">
        <f aca="false">P171+P190</f>
        <v>37.1500157480315</v>
      </c>
      <c r="Q201" s="81" t="n">
        <f aca="false">Q171+Q190</f>
        <v>39.3154015748032</v>
      </c>
      <c r="R201" s="81" t="n">
        <f aca="false">R171+R190</f>
        <v>41.4807874015748</v>
      </c>
      <c r="S201" s="81" t="n">
        <f aca="false">S171+S190</f>
        <v>43.6461732283465</v>
      </c>
      <c r="T201" s="81" t="n">
        <f aca="false">T171+T190</f>
        <v>45.8115590551181</v>
      </c>
      <c r="U201" s="81" t="n">
        <f aca="false">U171+U190</f>
        <v>47.9769448818898</v>
      </c>
      <c r="V201" s="81" t="n">
        <f aca="false">V171+V190</f>
        <v>50.1423307086614</v>
      </c>
      <c r="W201" s="81" t="n">
        <f aca="false">W171+W190</f>
        <v>52.3077165354331</v>
      </c>
      <c r="X201" s="81" t="n">
        <f aca="false">X171+X190</f>
        <v>54.4731023622047</v>
      </c>
      <c r="Y201" s="81" t="n">
        <f aca="false">Y171+Y190</f>
        <v>56.6384881889764</v>
      </c>
      <c r="Z201" s="81" t="n">
        <f aca="false">Z171+Z190</f>
        <v>58.803874015748</v>
      </c>
      <c r="AA201" s="81" t="n">
        <f aca="false">AA171+AA190</f>
        <v>60.9692598425197</v>
      </c>
    </row>
    <row r="202" customFormat="false" ht="15" hidden="false" customHeight="false" outlineLevel="0" collapsed="false">
      <c r="A202" s="16" t="n">
        <v>45</v>
      </c>
      <c r="B202" s="46" t="str">
        <f aca="false">'Stitch Library'!B50</f>
        <v>602 1/8" 2 Ndl Coverstitch</v>
      </c>
      <c r="H202" s="81" t="n">
        <f aca="false">8+(H$157*(5*0.125)+(4*$C$156))</f>
        <v>11.5816929133858</v>
      </c>
      <c r="I202" s="81" t="n">
        <f aca="false">8+(I$157*(5*0.125)+(4*$C$156))</f>
        <v>12.2066929133858</v>
      </c>
      <c r="J202" s="81" t="n">
        <f aca="false">8+(J$157*(5*0.125)+(4*$C$156))</f>
        <v>12.8316929133858</v>
      </c>
      <c r="K202" s="81" t="n">
        <f aca="false">8+(K$157*(5*0.125)+(4*$C$156))</f>
        <v>13.4566929133858</v>
      </c>
      <c r="L202" s="81" t="n">
        <f aca="false">8+(L$157*(5*0.125)+(4*$C$156))</f>
        <v>14.0816929133858</v>
      </c>
      <c r="M202" s="81" t="n">
        <f aca="false">8+(M$157*(5*0.125)+(4*$C$156))</f>
        <v>14.7066929133858</v>
      </c>
      <c r="N202" s="81" t="n">
        <f aca="false">8+(N$157*(5*0.125)+(4*$C$156))</f>
        <v>15.3316929133858</v>
      </c>
      <c r="O202" s="81" t="n">
        <f aca="false">8+(O$157*(5*0.125)+(4*$C$156))</f>
        <v>15.9566929133858</v>
      </c>
      <c r="P202" s="81" t="n">
        <f aca="false">8+(P$157*(5*0.125)+(4*$C$156))</f>
        <v>16.5816929133858</v>
      </c>
      <c r="Q202" s="81" t="n">
        <f aca="false">8+(Q$157*(5*0.125)+(4*$C$156))</f>
        <v>17.2066929133858</v>
      </c>
      <c r="R202" s="81" t="n">
        <f aca="false">8+(R$157*(5*0.125)+(4*$C$156))</f>
        <v>17.8316929133858</v>
      </c>
      <c r="S202" s="81" t="n">
        <f aca="false">8+(S$157*(5*0.125)+(4*$C$156))</f>
        <v>18.4566929133858</v>
      </c>
      <c r="T202" s="81" t="n">
        <f aca="false">8+(T$157*(5*0.125)+(4*$C$156))</f>
        <v>19.0816929133858</v>
      </c>
      <c r="U202" s="81" t="n">
        <f aca="false">8+(U$157*(5*0.125)+(4*$C$156))</f>
        <v>19.7066929133858</v>
      </c>
      <c r="V202" s="81" t="n">
        <f aca="false">8+(V$157*(5*0.125)+(4*$C$156))</f>
        <v>20.3316929133858</v>
      </c>
      <c r="W202" s="81" t="n">
        <f aca="false">8+(W$157*(5*0.125)+(4*$C$156))</f>
        <v>20.9566929133858</v>
      </c>
      <c r="X202" s="81" t="n">
        <f aca="false">8+(X$157*(5*0.125)+(4*$C$156))</f>
        <v>21.5816929133858</v>
      </c>
      <c r="Y202" s="81" t="n">
        <f aca="false">8+(Y$157*(5*0.125)+(4*$C$156))</f>
        <v>22.2066929133858</v>
      </c>
      <c r="Z202" s="81" t="n">
        <f aca="false">8+(Z$157*(5*0.125)+(4*$C$156))</f>
        <v>22.8316929133858</v>
      </c>
      <c r="AA202" s="81" t="n">
        <f aca="false">8+(AA$157*(5*0.125)+(4*$C$156))</f>
        <v>23.4566929133858</v>
      </c>
    </row>
    <row r="203" customFormat="false" ht="15" hidden="false" customHeight="false" outlineLevel="0" collapsed="false">
      <c r="A203" s="16" t="n">
        <v>46</v>
      </c>
      <c r="B203" s="46" t="str">
        <f aca="false">'Stitch Library'!B51</f>
        <v>602 3/16"m 2 Ndl Coverstitch</v>
      </c>
      <c r="H203" s="81" t="n">
        <f aca="false">8+(H$157*(5*0.188)+(4*$C$156))</f>
        <v>13.1566929133858</v>
      </c>
      <c r="I203" s="81" t="n">
        <f aca="false">8+(I$157*(5*0.188)+(4*$C$156))</f>
        <v>14.0966929133858</v>
      </c>
      <c r="J203" s="81" t="n">
        <f aca="false">8+(J$157*(5*0.188)+(4*$C$156))</f>
        <v>15.0366929133858</v>
      </c>
      <c r="K203" s="81" t="n">
        <f aca="false">8+(K$157*(5*0.188)+(4*$C$156))</f>
        <v>15.9766929133858</v>
      </c>
      <c r="L203" s="81" t="n">
        <f aca="false">8+(L$157*(5*0.188)+(4*$C$156))</f>
        <v>16.9166929133858</v>
      </c>
      <c r="M203" s="81" t="n">
        <f aca="false">8+(M$157*(5*0.188)+(4*$C$156))</f>
        <v>17.8566929133858</v>
      </c>
      <c r="N203" s="81" t="n">
        <f aca="false">8+(N$157*(5*0.188)+(4*$C$156))</f>
        <v>18.7966929133858</v>
      </c>
      <c r="O203" s="81" t="n">
        <f aca="false">8+(O$157*(5*0.188)+(4*$C$156))</f>
        <v>19.7366929133858</v>
      </c>
      <c r="P203" s="81" t="n">
        <f aca="false">8+(P$157*(5*0.188)+(4*$C$156))</f>
        <v>20.6766929133858</v>
      </c>
      <c r="Q203" s="81" t="n">
        <f aca="false">8+(Q$157*(5*0.188)+(4*$C$156))</f>
        <v>21.6166929133858</v>
      </c>
      <c r="R203" s="81" t="n">
        <f aca="false">8+(R$157*(5*0.188)+(4*$C$156))</f>
        <v>22.5566929133858</v>
      </c>
      <c r="S203" s="81" t="n">
        <f aca="false">8+(S$157*(5*0.188)+(4*$C$156))</f>
        <v>23.4966929133858</v>
      </c>
      <c r="T203" s="81" t="n">
        <f aca="false">8+(T$157*(5*0.188)+(4*$C$156))</f>
        <v>24.4366929133858</v>
      </c>
      <c r="U203" s="81" t="n">
        <f aca="false">8+(U$157*(5*0.188)+(4*$C$156))</f>
        <v>25.3766929133858</v>
      </c>
      <c r="V203" s="81" t="n">
        <f aca="false">8+(V$157*(5*0.188)+(4*$C$156))</f>
        <v>26.3166929133858</v>
      </c>
      <c r="W203" s="81" t="n">
        <f aca="false">8+(W$157*(5*0.188)+(4*$C$156))</f>
        <v>27.2566929133858</v>
      </c>
      <c r="X203" s="81" t="n">
        <f aca="false">8+(X$157*(5*0.188)+(4*$C$156))</f>
        <v>28.1966929133858</v>
      </c>
      <c r="Y203" s="81" t="n">
        <f aca="false">8+(Y$157*(5*0.188)+(4*$C$156))</f>
        <v>29.1366929133858</v>
      </c>
      <c r="Z203" s="81" t="n">
        <f aca="false">8+(Z$157*(5*0.188)+(4*$C$156))</f>
        <v>30.0766929133858</v>
      </c>
      <c r="AA203" s="81" t="n">
        <f aca="false">8+(AA$157*(5*0.188)+(4*$C$156))</f>
        <v>31.0166929133858</v>
      </c>
    </row>
    <row r="204" customFormat="false" ht="15" hidden="false" customHeight="false" outlineLevel="0" collapsed="false">
      <c r="A204" s="16" t="n">
        <v>47</v>
      </c>
      <c r="B204" s="46" t="str">
        <f aca="false">'Stitch Library'!B52</f>
        <v>602 1/4" 2 Ndl Coverstitch</v>
      </c>
      <c r="H204" s="81" t="n">
        <f aca="false">8+(H$157*(5*0.25)+(4*$C$156))</f>
        <v>14.7066929133858</v>
      </c>
      <c r="I204" s="81" t="n">
        <f aca="false">8+(I$157*(5*0.25)+(4*$C$156))</f>
        <v>15.9566929133858</v>
      </c>
      <c r="J204" s="81" t="n">
        <f aca="false">8+(J$157*(5*0.25)+(4*$C$156))</f>
        <v>17.2066929133858</v>
      </c>
      <c r="K204" s="81" t="n">
        <f aca="false">8+(K$157*(5*0.25)+(4*$C$156))</f>
        <v>18.4566929133858</v>
      </c>
      <c r="L204" s="81" t="n">
        <f aca="false">8+(L$157*(5*0.25)+(4*$C$156))</f>
        <v>19.7066929133858</v>
      </c>
      <c r="M204" s="81" t="n">
        <f aca="false">8+(M$157*(5*0.25)+(4*$C$156))</f>
        <v>20.9566929133858</v>
      </c>
      <c r="N204" s="81" t="n">
        <f aca="false">8+(N$157*(5*0.25)+(4*$C$156))</f>
        <v>22.2066929133858</v>
      </c>
      <c r="O204" s="81" t="n">
        <f aca="false">8+(O$157*(5*0.25)+(4*$C$156))</f>
        <v>23.4566929133858</v>
      </c>
      <c r="P204" s="81" t="n">
        <f aca="false">8+(P$157*(5*0.25)+(4*$C$156))</f>
        <v>24.7066929133858</v>
      </c>
      <c r="Q204" s="81" t="n">
        <f aca="false">8+(Q$157*(5*0.25)+(4*$C$156))</f>
        <v>25.9566929133858</v>
      </c>
      <c r="R204" s="81" t="n">
        <f aca="false">8+(R$157*(5*0.25)+(4*$C$156))</f>
        <v>27.2066929133858</v>
      </c>
      <c r="S204" s="81" t="n">
        <f aca="false">8+(S$157*(5*0.25)+(4*$C$156))</f>
        <v>28.4566929133858</v>
      </c>
      <c r="T204" s="81" t="n">
        <f aca="false">8+(T$157*(5*0.25)+(4*$C$156))</f>
        <v>29.7066929133858</v>
      </c>
      <c r="U204" s="81" t="n">
        <f aca="false">8+(U$157*(5*0.25)+(4*$C$156))</f>
        <v>30.9566929133858</v>
      </c>
      <c r="V204" s="81" t="n">
        <f aca="false">8+(V$157*(5*0.25)+(4*$C$156))</f>
        <v>32.2066929133858</v>
      </c>
      <c r="W204" s="81" t="n">
        <f aca="false">8+(W$157*(5*0.25)+(4*$C$156))</f>
        <v>33.4566929133858</v>
      </c>
      <c r="X204" s="81" t="n">
        <f aca="false">8+(X$157*(5*0.25)+(4*$C$156))</f>
        <v>34.7066929133858</v>
      </c>
      <c r="Y204" s="81" t="n">
        <f aca="false">8+(Y$157*(5*0.25)+(4*$C$156))</f>
        <v>35.9566929133858</v>
      </c>
      <c r="Z204" s="81" t="n">
        <f aca="false">8+(Z$157*(5*0.25)+(4*$C$156))</f>
        <v>37.2066929133858</v>
      </c>
      <c r="AA204" s="81" t="n">
        <f aca="false">8+(AA$157*(5*0.25)+(4*$C$156))</f>
        <v>38.4566929133858</v>
      </c>
    </row>
    <row r="205" customFormat="false" ht="15" hidden="false" customHeight="false" outlineLevel="0" collapsed="false">
      <c r="A205" s="16" t="n">
        <v>48</v>
      </c>
      <c r="B205" s="46" t="str">
        <f aca="false">'Stitch Library'!B53</f>
        <v>605 3 Ndl Coverstitch</v>
      </c>
      <c r="H205" s="81" t="n">
        <f aca="false">10+(2*(H$157*((2*0.25)+(3*$C$156))))</f>
        <v>18.4251968503937</v>
      </c>
      <c r="I205" s="81" t="n">
        <f aca="false">10+(2*(I$157*((2*0.25)+(3*$C$156))))</f>
        <v>20.1102362204724</v>
      </c>
      <c r="J205" s="81" t="n">
        <f aca="false">10+(2*(J$157*((2*0.25)+(3*$C$156))))</f>
        <v>21.7952755905512</v>
      </c>
      <c r="K205" s="81" t="n">
        <f aca="false">10+(2*(K$157*((2*0.25)+(3*$C$156))))</f>
        <v>23.4803149606299</v>
      </c>
      <c r="L205" s="81" t="n">
        <f aca="false">10+(2*(L$157*((2*0.25)+(3*$C$156))))</f>
        <v>25.1653543307087</v>
      </c>
      <c r="M205" s="81" t="n">
        <f aca="false">10+(2*(M$157*((2*0.25)+(3*$C$156))))</f>
        <v>26.8503937007874</v>
      </c>
      <c r="N205" s="81" t="n">
        <f aca="false">10+(2*(N$157*((2*0.25)+(3*$C$156))))</f>
        <v>28.5354330708661</v>
      </c>
      <c r="O205" s="81" t="n">
        <f aca="false">10+(2*(O$157*((2*0.25)+(3*$C$156))))</f>
        <v>30.2204724409449</v>
      </c>
      <c r="P205" s="81" t="n">
        <f aca="false">10+(2*(P$157*((2*0.25)+(3*$C$156))))</f>
        <v>31.9055118110236</v>
      </c>
      <c r="Q205" s="81" t="n">
        <f aca="false">10+(2*(Q$157*((2*0.25)+(3*$C$156))))</f>
        <v>33.5905511811024</v>
      </c>
      <c r="R205" s="81" t="n">
        <f aca="false">10+(2*(R$157*((2*0.25)+(3*$C$156))))</f>
        <v>35.2755905511811</v>
      </c>
      <c r="S205" s="81" t="n">
        <f aca="false">10+(2*(S$157*((2*0.25)+(3*$C$156))))</f>
        <v>36.9606299212598</v>
      </c>
      <c r="T205" s="81" t="n">
        <f aca="false">10+(2*(T$157*((2*0.25)+(3*$C$156))))</f>
        <v>38.6456692913386</v>
      </c>
      <c r="U205" s="81" t="n">
        <f aca="false">10+(2*(U$157*((2*0.25)+(3*$C$156))))</f>
        <v>40.3307086614173</v>
      </c>
      <c r="V205" s="81" t="n">
        <f aca="false">10+(2*(V$157*((2*0.25)+(3*$C$156))))</f>
        <v>42.0157480314961</v>
      </c>
      <c r="W205" s="81" t="n">
        <f aca="false">10+(2*(W$157*((2*0.25)+(3*$C$156))))</f>
        <v>43.7007874015748</v>
      </c>
      <c r="X205" s="81" t="n">
        <f aca="false">10+(2*(X$157*((2*0.25)+(3*$C$156))))</f>
        <v>45.3858267716536</v>
      </c>
      <c r="Y205" s="81" t="n">
        <f aca="false">10+(2*(Y$157*((2*0.25)+(3*$C$156))))</f>
        <v>47.0708661417323</v>
      </c>
      <c r="Z205" s="81" t="n">
        <f aca="false">10+(2*(Z$157*((2*0.25)+(3*$C$156))))</f>
        <v>48.755905511811</v>
      </c>
      <c r="AA205" s="81" t="n">
        <f aca="false">10+(2*(AA$157*((2*0.25)+(3*$C$156))))</f>
        <v>50.4409448818898</v>
      </c>
    </row>
    <row r="206" customFormat="false" ht="15" hidden="false" customHeight="false" outlineLevel="0" collapsed="false">
      <c r="A206" s="16" t="n">
        <v>49</v>
      </c>
      <c r="B206" s="46" t="str">
        <f aca="false">'Stitch Library'!B54</f>
        <v>607 4 Ndl Coverstitch</v>
      </c>
      <c r="H206" s="81" t="n">
        <f aca="false">12+4*H$157*((0.25)+(2*$C$156))</f>
        <v>21.5669291338583</v>
      </c>
      <c r="I206" s="81" t="n">
        <f aca="false">12+4*I$157*((0.25)+(2*$C$156))</f>
        <v>23.4803149606299</v>
      </c>
      <c r="J206" s="81" t="n">
        <f aca="false">12+4*J$157*((0.25)+(2*$C$156))</f>
        <v>25.3937007874016</v>
      </c>
      <c r="K206" s="81" t="n">
        <f aca="false">12+4*K$157*((0.25)+(2*$C$156))</f>
        <v>27.3070866141732</v>
      </c>
      <c r="L206" s="81" t="n">
        <f aca="false">12+4*L$157*((0.25)+(2*$C$156))</f>
        <v>29.2204724409449</v>
      </c>
      <c r="M206" s="81" t="n">
        <f aca="false">12+4*M$157*((0.25)+(2*$C$156))</f>
        <v>31.1338582677165</v>
      </c>
      <c r="N206" s="81" t="n">
        <f aca="false">12+4*N$157*((0.25)+(2*$C$156))</f>
        <v>33.0472440944882</v>
      </c>
      <c r="O206" s="81" t="n">
        <f aca="false">12+4*O$157*((0.25)+(2*$C$156))</f>
        <v>34.9606299212598</v>
      </c>
      <c r="P206" s="81" t="n">
        <f aca="false">12+4*P$157*((0.25)+(2*$C$156))</f>
        <v>36.8740157480315</v>
      </c>
      <c r="Q206" s="81" t="n">
        <f aca="false">12+4*Q$157*((0.25)+(2*$C$156))</f>
        <v>38.7874015748032</v>
      </c>
      <c r="R206" s="81" t="n">
        <f aca="false">12+4*R$157*((0.25)+(2*$C$156))</f>
        <v>40.7007874015748</v>
      </c>
      <c r="S206" s="81" t="n">
        <f aca="false">12+4*S$157*((0.25)+(2*$C$156))</f>
        <v>42.6141732283465</v>
      </c>
      <c r="T206" s="81" t="n">
        <f aca="false">12+4*T$157*((0.25)+(2*$C$156))</f>
        <v>44.5275590551181</v>
      </c>
      <c r="U206" s="81" t="n">
        <f aca="false">12+4*U$157*((0.25)+(2*$C$156))</f>
        <v>46.4409448818898</v>
      </c>
      <c r="V206" s="81" t="n">
        <f aca="false">12+4*V$157*((0.25)+(2*$C$156))</f>
        <v>48.3543307086614</v>
      </c>
      <c r="W206" s="81" t="n">
        <f aca="false">12+4*W$157*((0.25)+(2*$C$156))</f>
        <v>50.2677165354331</v>
      </c>
      <c r="X206" s="81" t="n">
        <f aca="false">12+4*X$157*((0.25)+(2*$C$156))</f>
        <v>52.1811023622047</v>
      </c>
      <c r="Y206" s="81" t="n">
        <f aca="false">12+4*Y$157*((0.25)+(2*$C$156))</f>
        <v>54.0944881889764</v>
      </c>
      <c r="Z206" s="81" t="n">
        <f aca="false">12+4*Z$157*((0.25)+(2*$C$156))</f>
        <v>56.007874015748</v>
      </c>
      <c r="AA206" s="81" t="n">
        <f aca="false">12+4*AA$157*((0.25)+(2*$C$156))</f>
        <v>57.9212598425197</v>
      </c>
    </row>
    <row r="207" customFormat="false" ht="15" hidden="false" customHeight="false" outlineLevel="0" collapsed="false">
      <c r="A207" s="16" t="n">
        <v>50</v>
      </c>
      <c r="B207" s="46" t="str">
        <f aca="false">'Stitch Library'!B55</f>
        <v>Bartack 3/8"</v>
      </c>
      <c r="D207" s="80" t="n">
        <v>20</v>
      </c>
    </row>
    <row r="208" customFormat="false" ht="15" hidden="false" customHeight="false" outlineLevel="0" collapsed="false">
      <c r="A208" s="16" t="n">
        <v>51</v>
      </c>
      <c r="B208" s="46" t="str">
        <f aca="false">'Stitch Library'!B56</f>
        <v>Bartack 1/2"</v>
      </c>
      <c r="D208" s="80" t="n">
        <v>25</v>
      </c>
    </row>
    <row r="209" customFormat="false" ht="15" hidden="false" customHeight="false" outlineLevel="0" collapsed="false">
      <c r="A209" s="16" t="n">
        <v>52</v>
      </c>
      <c r="B209" s="46" t="str">
        <f aca="false">'Stitch Library'!B57</f>
        <v>Bartack 3/4"</v>
      </c>
      <c r="D209" s="80" t="n">
        <v>35</v>
      </c>
    </row>
    <row r="210" customFormat="false" ht="15" hidden="false" customHeight="false" outlineLevel="0" collapsed="false">
      <c r="A210" s="16" t="n">
        <v>53</v>
      </c>
      <c r="B210" s="46" t="str">
        <f aca="false">'Stitch Library'!B58</f>
        <v>BS 2 hole</v>
      </c>
      <c r="D210" s="80" t="n">
        <v>10</v>
      </c>
    </row>
    <row r="211" customFormat="false" ht="15" hidden="false" customHeight="false" outlineLevel="0" collapsed="false">
      <c r="A211" s="16" t="n">
        <v>54</v>
      </c>
      <c r="B211" s="46" t="str">
        <f aca="false">'Stitch Library'!B59</f>
        <v>BS 4 hole</v>
      </c>
      <c r="D211" s="80" t="n">
        <v>18</v>
      </c>
    </row>
    <row r="212" customFormat="false" ht="15" hidden="false" customHeight="false" outlineLevel="0" collapsed="false">
      <c r="A212" s="16" t="n">
        <v>55</v>
      </c>
      <c r="B212" s="46" t="str">
        <f aca="false">'Stitch Library'!B60</f>
        <v>BH 5/8"</v>
      </c>
      <c r="D212" s="80" t="n">
        <v>33</v>
      </c>
    </row>
    <row r="213" customFormat="false" ht="15" hidden="false" customHeight="false" outlineLevel="0" collapsed="false">
      <c r="A213" s="16" t="n">
        <v>56</v>
      </c>
      <c r="B213" s="46" t="str">
        <f aca="false">'Stitch Library'!B61</f>
        <v>BH Gimp 5/8"</v>
      </c>
      <c r="D213" s="80" t="n">
        <v>4</v>
      </c>
    </row>
    <row r="214" customFormat="false" ht="15" hidden="false" customHeight="false" outlineLevel="0" collapsed="false">
      <c r="A214" s="16" t="n">
        <v>57</v>
      </c>
      <c r="B214" s="46" t="str">
        <f aca="false">'Stitch Library'!B62</f>
        <v>BH 3/4"</v>
      </c>
      <c r="D214" s="80" t="n">
        <v>39</v>
      </c>
    </row>
    <row r="215" customFormat="false" ht="15" hidden="false" customHeight="false" outlineLevel="0" collapsed="false">
      <c r="A215" s="16" t="n">
        <v>58</v>
      </c>
      <c r="B215" s="46" t="str">
        <f aca="false">'Stitch Library'!B63</f>
        <v>BH Gimp 3/4"</v>
      </c>
      <c r="D215" s="80" t="n">
        <v>5</v>
      </c>
    </row>
    <row r="216" customFormat="false" ht="15" hidden="false" customHeight="false" outlineLevel="0" collapsed="false">
      <c r="A216" s="16" t="n">
        <v>59</v>
      </c>
      <c r="B216" s="46" t="str">
        <f aca="false">'Stitch Library'!B64</f>
        <v>BH 1"</v>
      </c>
      <c r="D216" s="80" t="n">
        <v>51</v>
      </c>
    </row>
    <row r="217" customFormat="false" ht="15" hidden="false" customHeight="false" outlineLevel="0" collapsed="false">
      <c r="A217" s="16" t="n">
        <v>60</v>
      </c>
      <c r="B217" s="46" t="str">
        <f aca="false">'Stitch Library'!B65</f>
        <v>BH Gimp 1"</v>
      </c>
      <c r="D217" s="80" t="n">
        <v>8</v>
      </c>
    </row>
    <row r="218" customFormat="false" ht="15" hidden="false" customHeight="false" outlineLevel="0" collapsed="false">
      <c r="A218" s="16" t="n">
        <v>61</v>
      </c>
      <c r="B218" s="46" t="str">
        <f aca="false">'Stitch Library'!B66</f>
        <v>Embroidery = 350</v>
      </c>
      <c r="D218" s="80" t="n">
        <v>392</v>
      </c>
    </row>
    <row r="219" customFormat="false" ht="15" hidden="false" customHeight="false" outlineLevel="0" collapsed="false">
      <c r="A219" s="16" t="n">
        <v>62</v>
      </c>
      <c r="B219" s="46" t="str">
        <f aca="false">'Stitch Library'!B67</f>
        <v>Embroidery = 500</v>
      </c>
      <c r="D219" s="80" t="n">
        <v>486</v>
      </c>
    </row>
    <row r="220" customFormat="false" ht="15" hidden="false" customHeight="false" outlineLevel="0" collapsed="false">
      <c r="A220" s="16" t="n">
        <v>63</v>
      </c>
      <c r="B220" s="46" t="str">
        <f aca="false">'Stitch Library'!B68</f>
        <v>Embroidery = 1000</v>
      </c>
      <c r="D220" s="80" t="n">
        <v>800</v>
      </c>
    </row>
    <row r="221" customFormat="false" ht="15" hidden="false" customHeight="false" outlineLevel="0" collapsed="false">
      <c r="A221" s="16" t="n">
        <v>64</v>
      </c>
      <c r="B221" s="46" t="str">
        <f aca="false">'Stitch Library'!B69</f>
        <v>Embroidery = 1500</v>
      </c>
      <c r="D221" s="80" t="n">
        <v>1113</v>
      </c>
    </row>
    <row r="222" customFormat="false" ht="15" hidden="false" customHeight="false" outlineLevel="0" collapsed="false">
      <c r="A222" s="16" t="n">
        <v>65</v>
      </c>
      <c r="B222" s="46" t="str">
        <f aca="false">'Stitch Library'!B70</f>
        <v>Embroidery = 2000</v>
      </c>
      <c r="D222" s="80" t="n">
        <v>1427</v>
      </c>
    </row>
    <row r="223" customFormat="false" ht="15" hidden="false" customHeight="false" outlineLevel="0" collapsed="false">
      <c r="A223" s="16" t="n">
        <v>66</v>
      </c>
      <c r="B223" s="46" t="str">
        <f aca="false">'Stitch Library'!B71</f>
        <v>Embroidery = 2500</v>
      </c>
      <c r="D223" s="80" t="n">
        <v>1740</v>
      </c>
    </row>
    <row r="224" customFormat="false" ht="15" hidden="false" customHeight="false" outlineLevel="0" collapsed="false">
      <c r="A224" s="16" t="n">
        <v>67</v>
      </c>
      <c r="B224" s="46" t="str">
        <f aca="false">'Stitch Library'!B72</f>
        <v>Embroidery = 3000</v>
      </c>
      <c r="D224" s="80" t="n">
        <v>2054</v>
      </c>
    </row>
    <row r="225" customFormat="false" ht="15" hidden="false" customHeight="false" outlineLevel="0" collapsed="false">
      <c r="A225" s="16" t="n">
        <v>68</v>
      </c>
      <c r="B225" s="46" t="str">
        <f aca="false">'Stitch Library'!B73</f>
        <v>Cap Eyelet Stitch (5/16")</v>
      </c>
      <c r="D225" s="80" t="n">
        <v>90</v>
      </c>
    </row>
    <row r="229" customFormat="false" ht="15" hidden="false" customHeight="false" outlineLevel="0" collapsed="false">
      <c r="A229" s="79" t="s">
        <v>315</v>
      </c>
    </row>
    <row r="230" customFormat="false" ht="15" hidden="false" customHeight="false" outlineLevel="0" collapsed="false">
      <c r="B230" s="10" t="s">
        <v>310</v>
      </c>
      <c r="C230" s="72" t="n">
        <f aca="false">Setup!$C$17</f>
        <v>2.4</v>
      </c>
    </row>
    <row r="231" customFormat="false" ht="15" hidden="false" customHeight="false" outlineLevel="0" collapsed="false">
      <c r="B231" s="10" t="s">
        <v>311</v>
      </c>
      <c r="C231" s="18" t="n">
        <f aca="false">C230/25.4</f>
        <v>0.094488188976378</v>
      </c>
    </row>
    <row r="232" customFormat="false" ht="15" hidden="false" customHeight="false" outlineLevel="0" collapsed="false">
      <c r="A232" s="13" t="s">
        <v>174</v>
      </c>
      <c r="B232" s="13" t="s">
        <v>312</v>
      </c>
      <c r="C232" s="13"/>
      <c r="D232" s="13" t="n">
        <v>1</v>
      </c>
      <c r="E232" s="13" t="n">
        <v>2</v>
      </c>
      <c r="F232" s="13" t="n">
        <v>3</v>
      </c>
      <c r="G232" s="13" t="n">
        <v>4</v>
      </c>
      <c r="H232" s="13" t="n">
        <v>5</v>
      </c>
      <c r="I232" s="13" t="n">
        <v>6</v>
      </c>
      <c r="J232" s="13" t="n">
        <v>7</v>
      </c>
      <c r="K232" s="13" t="n">
        <v>8</v>
      </c>
      <c r="L232" s="13" t="n">
        <v>9</v>
      </c>
      <c r="M232" s="13" t="n">
        <v>10</v>
      </c>
      <c r="N232" s="13" t="n">
        <v>11</v>
      </c>
      <c r="O232" s="13" t="n">
        <v>12</v>
      </c>
      <c r="P232" s="13" t="n">
        <v>13</v>
      </c>
      <c r="Q232" s="13" t="n">
        <v>14</v>
      </c>
      <c r="R232" s="13" t="n">
        <v>15</v>
      </c>
      <c r="S232" s="13" t="n">
        <v>16</v>
      </c>
      <c r="T232" s="13" t="n">
        <v>17</v>
      </c>
      <c r="U232" s="13" t="n">
        <v>18</v>
      </c>
      <c r="V232" s="13" t="n">
        <v>19</v>
      </c>
      <c r="W232" s="13" t="n">
        <v>20</v>
      </c>
      <c r="X232" s="13" t="n">
        <v>21</v>
      </c>
      <c r="Y232" s="13" t="n">
        <v>22</v>
      </c>
      <c r="Z232" s="13" t="n">
        <v>23</v>
      </c>
      <c r="AA232" s="13" t="n">
        <v>24</v>
      </c>
    </row>
    <row r="233" customFormat="false" ht="15" hidden="false" customHeight="false" outlineLevel="0" collapsed="false">
      <c r="A233" s="16" t="n">
        <v>1</v>
      </c>
      <c r="B233" s="46" t="str">
        <f aca="false">'Stitch Library'!B6</f>
        <v>103 Blindstitch</v>
      </c>
      <c r="F233" s="80" t="n">
        <v>3.42</v>
      </c>
      <c r="G233" s="80" t="n">
        <v>3.56</v>
      </c>
      <c r="H233" s="80" t="n">
        <v>3.7</v>
      </c>
      <c r="I233" s="80" t="n">
        <v>3.84</v>
      </c>
      <c r="J233" s="80" t="n">
        <v>3.98</v>
      </c>
      <c r="K233" s="80" t="n">
        <v>4.12</v>
      </c>
      <c r="L233" s="80" t="n">
        <v>4.26</v>
      </c>
      <c r="M233" s="80" t="n">
        <v>4.4</v>
      </c>
    </row>
    <row r="234" customFormat="false" ht="15" hidden="false" customHeight="false" outlineLevel="0" collapsed="false">
      <c r="A234" s="16" t="n">
        <v>2</v>
      </c>
      <c r="B234" s="46" t="str">
        <f aca="false">'Stitch Library'!B7</f>
        <v>108 (1.2mm) Saddlestitch</v>
      </c>
      <c r="E234" s="81" t="n">
        <f aca="false">E$232*((4*$C$231)+(2*0.048)+(3*(1/E$232)))</f>
        <v>3.94790551181102</v>
      </c>
      <c r="F234" s="81" t="n">
        <f aca="false">F$232*((4*$C$231)+(2*0.048)+(3*(1/F$232)))</f>
        <v>4.42185826771654</v>
      </c>
      <c r="G234" s="81" t="n">
        <f aca="false">G$232*((4*$C$231)+(2*0.048)+(3*(1/G$232)))</f>
        <v>4.89581102362205</v>
      </c>
      <c r="H234" s="81" t="n">
        <f aca="false">H$232*((4*$C$231)+(2*0.048)+(3*(1/H$232)))</f>
        <v>5.36976377952756</v>
      </c>
      <c r="I234" s="81" t="n">
        <f aca="false">I$232*((4*$C$231)+(2*0.048)+(3*(1/I$232)))</f>
        <v>5.84371653543307</v>
      </c>
      <c r="J234" s="81" t="n">
        <f aca="false">J$232*((4*$C$231)+(2*0.048)+(3*(1/J$232)))</f>
        <v>6.31766929133858</v>
      </c>
      <c r="K234" s="81" t="n">
        <f aca="false">K$232*((4*$C$231)+(2*0.048)+(3*(1/K$232)))</f>
        <v>6.79162204724409</v>
      </c>
      <c r="L234" s="81" t="n">
        <f aca="false">L$232*((4*$C$231)+(2*0.048)+(3*(1/L$232)))</f>
        <v>7.26557480314961</v>
      </c>
      <c r="M234" s="81" t="n">
        <f aca="false">M$232*((4*$C$231)+(2*0.048)+(3*(1/M$232)))</f>
        <v>7.73952755905512</v>
      </c>
    </row>
    <row r="235" customFormat="false" ht="15" hidden="false" customHeight="false" outlineLevel="0" collapsed="false">
      <c r="A235" s="16" t="n">
        <v>3</v>
      </c>
      <c r="B235" s="46" t="str">
        <f aca="false">'Stitch Library'!B8</f>
        <v>108 (3mm) Saddlestitch</v>
      </c>
      <c r="E235" s="81" t="n">
        <f aca="false">E$232*((4*$C$231)+(2*0.12)+(3*(1/E$232)))</f>
        <v>4.23590551181102</v>
      </c>
      <c r="F235" s="81" t="n">
        <f aca="false">F$232*((4*$C$231)+(2*0.12)+(3*(1/F$232)))</f>
        <v>4.85385826771654</v>
      </c>
      <c r="G235" s="81" t="n">
        <f aca="false">G$232*((4*$C$231)+(2*0.12)+(3*(1/G$232)))</f>
        <v>5.47181102362205</v>
      </c>
      <c r="H235" s="81" t="n">
        <f aca="false">H$232*((4*$C$231)+(2*0.12)+(3*(1/H$232)))</f>
        <v>6.08976377952756</v>
      </c>
      <c r="I235" s="81" t="n">
        <f aca="false">I$232*((4*$C$231)+(2*0.12)+(3*(1/I$232)))</f>
        <v>6.70771653543307</v>
      </c>
      <c r="J235" s="81" t="n">
        <f aca="false">J$232*((4*$C$231)+(2*0.12)+(3*(1/J$232)))</f>
        <v>7.32566929133858</v>
      </c>
      <c r="K235" s="81" t="n">
        <f aca="false">K$232*((4*$C$231)+(2*0.12)+(3*(1/K$232)))</f>
        <v>7.94362204724409</v>
      </c>
      <c r="L235" s="81" t="n">
        <f aca="false">L$232*((4*$C$231)+(2*0.12)+(3*(1/L$232)))</f>
        <v>8.56157480314961</v>
      </c>
      <c r="M235" s="81" t="n">
        <f aca="false">M$232*((4*$C$231)+(2*0.12)+(3*(1/M$232)))</f>
        <v>9.17952755905512</v>
      </c>
    </row>
    <row r="236" customFormat="false" ht="15" hidden="false" customHeight="false" outlineLevel="0" collapsed="false">
      <c r="A236" s="16" t="n">
        <v>4</v>
      </c>
      <c r="B236" s="46" t="str">
        <f aca="false">'Stitch Library'!B9</f>
        <v>108 (5mm) Saddlestitch</v>
      </c>
      <c r="E236" s="81" t="n">
        <f aca="false">E$232*((4*$C$231)+(2*0.2)+(3*(1/E$232)))</f>
        <v>4.55590551181102</v>
      </c>
      <c r="F236" s="81" t="n">
        <f aca="false">F$232*((4*$C$231)+(2*0.2)+(3*(1/F$232)))</f>
        <v>5.33385826771654</v>
      </c>
      <c r="G236" s="81" t="n">
        <f aca="false">G$232*((4*$C$231)+(2*0.2)+(3*(1/G$232)))</f>
        <v>6.11181102362205</v>
      </c>
      <c r="H236" s="81" t="n">
        <f aca="false">H$232*((4*$C$231)+(2*0.2)+(3*(1/H$232)))</f>
        <v>6.88976377952756</v>
      </c>
      <c r="I236" s="81" t="n">
        <f aca="false">I$232*((4*$C$231)+(2*0.2)+(3*(1/I$232)))</f>
        <v>7.66771653543307</v>
      </c>
      <c r="J236" s="81" t="n">
        <f aca="false">J$232*((4*$C$231)+(2*0.2)+(3*(1/J$232)))</f>
        <v>8.44566929133858</v>
      </c>
      <c r="K236" s="81" t="n">
        <f aca="false">K$232*((4*$C$231)+(2*0.2)+(3*(1/K$232)))</f>
        <v>9.2236220472441</v>
      </c>
      <c r="L236" s="81" t="n">
        <f aca="false">L$232*((4*$C$231)+(2*0.2)+(3*(1/L$232)))</f>
        <v>10.0015748031496</v>
      </c>
      <c r="M236" s="81" t="n">
        <f aca="false">M$232*((4*$C$231)+(2*0.2)+(3*(1/M$232)))</f>
        <v>10.7795275590551</v>
      </c>
    </row>
    <row r="237" customFormat="false" ht="15" hidden="false" customHeight="false" outlineLevel="0" collapsed="false">
      <c r="A237" s="16" t="n">
        <v>5</v>
      </c>
      <c r="B237" s="46" t="str">
        <f aca="false">'Stitch Library'!B10</f>
        <v>201 Saddle Stitch</v>
      </c>
      <c r="H237" s="81" t="n">
        <f aca="false">1+1*($C$231*H$232)</f>
        <v>1.47244094488189</v>
      </c>
      <c r="I237" s="81" t="n">
        <f aca="false">1+1*($C$231*I$232)</f>
        <v>1.56692913385827</v>
      </c>
      <c r="J237" s="81" t="n">
        <f aca="false">1+1*($C$231*J$232)</f>
        <v>1.66141732283465</v>
      </c>
      <c r="K237" s="81" t="n">
        <f aca="false">1+1*($C$231*K$232)</f>
        <v>1.75590551181102</v>
      </c>
      <c r="L237" s="81" t="n">
        <f aca="false">1+1*($C$231*L$232)</f>
        <v>1.8503937007874</v>
      </c>
      <c r="M237" s="81" t="n">
        <f aca="false">1+1*($C$231*M$232)</f>
        <v>1.94488188976378</v>
      </c>
      <c r="N237" s="81" t="n">
        <f aca="false">1+1*($C$231*N$232)</f>
        <v>2.03937007874016</v>
      </c>
      <c r="O237" s="81" t="n">
        <f aca="false">1+1*($C$231*O$232)</f>
        <v>2.13385826771654</v>
      </c>
      <c r="P237" s="81" t="n">
        <f aca="false">1+1*($C$231*P$232)</f>
        <v>2.22834645669291</v>
      </c>
      <c r="Q237" s="81" t="n">
        <f aca="false">1+1*($C$231*Q$232)</f>
        <v>2.32283464566929</v>
      </c>
      <c r="R237" s="81" t="n">
        <f aca="false">1+1*($C$231*R$232)</f>
        <v>2.41732283464567</v>
      </c>
      <c r="S237" s="81" t="n">
        <f aca="false">1+1*($C$231*S$232)</f>
        <v>2.51181102362205</v>
      </c>
      <c r="T237" s="81" t="n">
        <f aca="false">1+1*($C$231*T$232)</f>
        <v>2.60629921259843</v>
      </c>
      <c r="U237" s="81" t="n">
        <f aca="false">1+1*($C$231*U$232)</f>
        <v>2.7007874015748</v>
      </c>
      <c r="V237" s="81" t="n">
        <f aca="false">1+1*($C$231*V$232)</f>
        <v>2.79527559055118</v>
      </c>
      <c r="W237" s="81" t="n">
        <f aca="false">1+1*($C$231*W$232)</f>
        <v>2.88976377952756</v>
      </c>
      <c r="X237" s="81" t="n">
        <f aca="false">1+1*($C$231*X$232)</f>
        <v>2.98425196850394</v>
      </c>
      <c r="Y237" s="81" t="n">
        <f aca="false">1+1*($C$231*Y$232)</f>
        <v>3.07874015748032</v>
      </c>
      <c r="Z237" s="81" t="n">
        <f aca="false">1+1*($C$231*Z$232)</f>
        <v>3.17322834645669</v>
      </c>
      <c r="AA237" s="81" t="n">
        <f aca="false">1+1*($C$231*AA$232)</f>
        <v>3.26771653543307</v>
      </c>
    </row>
    <row r="238" customFormat="false" ht="15" hidden="false" customHeight="false" outlineLevel="0" collapsed="false">
      <c r="A238" s="16" t="n">
        <v>6</v>
      </c>
      <c r="B238" s="46" t="str">
        <f aca="false">'Stitch Library'!B11</f>
        <v>101 Single Needle Chain</v>
      </c>
      <c r="F238" s="81" t="n">
        <f aca="false">3+2*($C$231*F$232)</f>
        <v>3.56692913385827</v>
      </c>
      <c r="G238" s="81" t="n">
        <f aca="false">3+2*($C$231*G$232)</f>
        <v>3.75590551181102</v>
      </c>
      <c r="H238" s="81" t="n">
        <f aca="false">3+2*($C$231*H$232)</f>
        <v>3.94488188976378</v>
      </c>
      <c r="I238" s="81" t="n">
        <f aca="false">3+2*($C$231*I$232)</f>
        <v>4.13385826771654</v>
      </c>
      <c r="J238" s="81" t="n">
        <f aca="false">3+2*($C$231*J$232)</f>
        <v>4.32283464566929</v>
      </c>
      <c r="K238" s="81" t="n">
        <f aca="false">3+2*($C$231*K$232)</f>
        <v>4.51181102362205</v>
      </c>
      <c r="L238" s="81" t="n">
        <f aca="false">3+2*($C$231*L$232)</f>
        <v>4.7007874015748</v>
      </c>
      <c r="M238" s="81" t="n">
        <f aca="false">3+2*($C$231*M$232)</f>
        <v>4.88976377952756</v>
      </c>
      <c r="N238" s="81" t="n">
        <f aca="false">3+2*($C$231*N$232)</f>
        <v>5.07874015748032</v>
      </c>
      <c r="O238" s="81" t="n">
        <f aca="false">3+2*($C$231*O$232)</f>
        <v>5.26771653543307</v>
      </c>
      <c r="P238" s="81" t="n">
        <f aca="false">3+2*($C$231*P$232)</f>
        <v>5.45669291338583</v>
      </c>
      <c r="Q238" s="81" t="n">
        <f aca="false">3+2*($C$231*Q$232)</f>
        <v>5.64566929133858</v>
      </c>
      <c r="R238" s="81" t="n">
        <f aca="false">3+2*($C$231*R$232)</f>
        <v>5.83464566929134</v>
      </c>
      <c r="S238" s="81" t="n">
        <f aca="false">3+2*($C$231*S$232)</f>
        <v>6.02362204724409</v>
      </c>
      <c r="T238" s="81" t="n">
        <f aca="false">3+2*($C$231*T$232)</f>
        <v>6.21259842519685</v>
      </c>
      <c r="U238" s="81" t="n">
        <f aca="false">3+2*($C$231*U$232)</f>
        <v>6.40157480314961</v>
      </c>
      <c r="V238" s="81" t="n">
        <f aca="false">3+2*($C$231*V$232)</f>
        <v>6.59055118110236</v>
      </c>
      <c r="W238" s="81" t="n">
        <f aca="false">3+2*($C$231*W$232)</f>
        <v>6.77952755905512</v>
      </c>
      <c r="X238" s="81" t="n">
        <f aca="false">3+2*($C$231*X$232)</f>
        <v>6.96850393700787</v>
      </c>
      <c r="Y238" s="81" t="n">
        <f aca="false">3+2*($C$231*Y$232)</f>
        <v>7.15748031496063</v>
      </c>
      <c r="Z238" s="81" t="n">
        <f aca="false">3+2*($C$231*Z$232)</f>
        <v>7.34645669291339</v>
      </c>
      <c r="AA238" s="81" t="n">
        <f aca="false">3+2*($C$231*AA$232)</f>
        <v>7.53543307086614</v>
      </c>
    </row>
    <row r="239" customFormat="false" ht="15" hidden="false" customHeight="false" outlineLevel="0" collapsed="false">
      <c r="A239" s="16" t="n">
        <v>7</v>
      </c>
      <c r="B239" s="46" t="str">
        <f aca="false">'Stitch Library'!B12</f>
        <v>301 Lockstitch</v>
      </c>
      <c r="E239" s="80" t="n">
        <v>2.3</v>
      </c>
      <c r="F239" s="80" t="n">
        <v>2.45</v>
      </c>
      <c r="G239" s="80" t="n">
        <v>2.6</v>
      </c>
      <c r="H239" s="81" t="n">
        <f aca="false">2+2*($C$231*H$232)</f>
        <v>2.94488188976378</v>
      </c>
      <c r="I239" s="81" t="n">
        <f aca="false">2+2*($C$231*I$232)</f>
        <v>3.13385826771654</v>
      </c>
      <c r="J239" s="81" t="n">
        <f aca="false">2+2*($C$231*J$232)</f>
        <v>3.32283464566929</v>
      </c>
      <c r="K239" s="81" t="n">
        <f aca="false">2+2*($C$231*K$232)</f>
        <v>3.51181102362205</v>
      </c>
      <c r="L239" s="81" t="n">
        <f aca="false">2+2*($C$231*L$232)</f>
        <v>3.7007874015748</v>
      </c>
      <c r="M239" s="81" t="n">
        <f aca="false">2+2*($C$231*M$232)</f>
        <v>3.88976377952756</v>
      </c>
      <c r="N239" s="81" t="n">
        <f aca="false">2+2*($C$231*N$232)</f>
        <v>4.07874015748032</v>
      </c>
      <c r="O239" s="81" t="n">
        <f aca="false">2+2*($C$231*O$232)</f>
        <v>4.26771653543307</v>
      </c>
      <c r="P239" s="81" t="n">
        <f aca="false">2+2*($C$231*P$232)</f>
        <v>4.45669291338583</v>
      </c>
      <c r="Q239" s="81" t="n">
        <f aca="false">2+2*($C$231*Q$232)</f>
        <v>4.64566929133858</v>
      </c>
      <c r="R239" s="81" t="n">
        <f aca="false">2+2*($C$231*R$232)</f>
        <v>4.83464566929134</v>
      </c>
      <c r="S239" s="81" t="n">
        <f aca="false">2+2*($C$231*S$232)</f>
        <v>5.02362204724409</v>
      </c>
      <c r="T239" s="81" t="n">
        <f aca="false">2+2*($C$231*T$232)</f>
        <v>5.21259842519685</v>
      </c>
      <c r="U239" s="81" t="n">
        <f aca="false">2+2*($C$231*U$232)</f>
        <v>5.40157480314961</v>
      </c>
      <c r="V239" s="81" t="n">
        <f aca="false">2+2*($C$231*V$232)</f>
        <v>5.59055118110236</v>
      </c>
      <c r="W239" s="81" t="n">
        <f aca="false">2+2*($C$231*W$232)</f>
        <v>5.77952755905512</v>
      </c>
      <c r="X239" s="81" t="n">
        <f aca="false">2+2*($C$231*X$232)</f>
        <v>5.96850393700787</v>
      </c>
      <c r="Y239" s="81" t="n">
        <f aca="false">2+2*($C$231*Y$232)</f>
        <v>6.15748031496063</v>
      </c>
      <c r="Z239" s="81" t="n">
        <f aca="false">2+2*($C$231*Z$232)</f>
        <v>6.34645669291339</v>
      </c>
      <c r="AA239" s="81" t="n">
        <f aca="false">2+2*($C$231*AA$232)</f>
        <v>6.53543307086614</v>
      </c>
    </row>
    <row r="240" customFormat="false" ht="15" hidden="false" customHeight="false" outlineLevel="0" collapsed="false">
      <c r="A240" s="16" t="n">
        <v>8</v>
      </c>
      <c r="B240" s="46" t="str">
        <f aca="false">'Stitch Library'!B13</f>
        <v>304 1/8" ZigZag</v>
      </c>
      <c r="H240" s="81" t="n">
        <f aca="false">2*H$232*(SQRT((0.125*0.125)+($C$231*$C$231))+$C$231)</f>
        <v>2.51182215205956</v>
      </c>
      <c r="I240" s="81" t="n">
        <f aca="false">2*I$232*(SQRT((0.125*0.125)+($C$231*$C$231))+$C$231)</f>
        <v>3.01418658247147</v>
      </c>
      <c r="J240" s="81" t="n">
        <f aca="false">2*J$232*(SQRT((0.125*0.125)+($C$231*$C$231))+$C$231)</f>
        <v>3.51655101288339</v>
      </c>
      <c r="K240" s="81" t="n">
        <f aca="false">2*K$232*(SQRT((0.125*0.125)+($C$231*$C$231))+$C$231)</f>
        <v>4.0189154432953</v>
      </c>
      <c r="L240" s="81" t="n">
        <f aca="false">2*L$232*(SQRT((0.125*0.125)+($C$231*$C$231))+$C$231)</f>
        <v>4.52127987370721</v>
      </c>
      <c r="M240" s="81" t="n">
        <f aca="false">2*M$232*(SQRT((0.125*0.125)+($C$231*$C$231))+$C$231)</f>
        <v>5.02364430411912</v>
      </c>
      <c r="N240" s="81" t="n">
        <f aca="false">2*N$232*(SQRT((0.125*0.125)+($C$231*$C$231))+$C$231)</f>
        <v>5.52600873453103</v>
      </c>
      <c r="O240" s="81" t="n">
        <f aca="false">2*O$232*(SQRT((0.125*0.125)+($C$231*$C$231))+$C$231)</f>
        <v>6.02837316494295</v>
      </c>
      <c r="P240" s="81" t="n">
        <f aca="false">2*P$232*(SQRT((0.125*0.125)+($C$231*$C$231))+$C$231)</f>
        <v>6.53073759535486</v>
      </c>
      <c r="Q240" s="81" t="n">
        <f aca="false">2*Q$232*(SQRT((0.125*0.125)+($C$231*$C$231))+$C$231)</f>
        <v>7.03310202576677</v>
      </c>
      <c r="R240" s="81" t="n">
        <f aca="false">2*R$232*(SQRT((0.125*0.125)+($C$231*$C$231))+$C$231)</f>
        <v>7.53546645617868</v>
      </c>
      <c r="S240" s="81" t="n">
        <f aca="false">2*S$232*(SQRT((0.125*0.125)+($C$231*$C$231))+$C$231)</f>
        <v>8.03783088659059</v>
      </c>
      <c r="T240" s="81" t="n">
        <f aca="false">2*T$232*(SQRT((0.125*0.125)+($C$231*$C$231))+$C$231)</f>
        <v>8.54019531700251</v>
      </c>
      <c r="U240" s="81" t="n">
        <f aca="false">2*U$232*(SQRT((0.125*0.125)+($C$231*$C$231))+$C$231)</f>
        <v>9.04255974741442</v>
      </c>
      <c r="V240" s="81" t="n">
        <f aca="false">2*V$232*(SQRT((0.125*0.125)+($C$231*$C$231))+$C$231)</f>
        <v>9.54492417782633</v>
      </c>
      <c r="W240" s="81" t="n">
        <f aca="false">2*W$232*(SQRT((0.125*0.125)+($C$231*$C$231))+$C$231)</f>
        <v>10.0472886082382</v>
      </c>
      <c r="X240" s="81" t="n">
        <f aca="false">2*X$232*(SQRT((0.125*0.125)+($C$231*$C$231))+$C$231)</f>
        <v>10.5496530386502</v>
      </c>
      <c r="Y240" s="81" t="n">
        <f aca="false">2*Y$232*(SQRT((0.125*0.125)+($C$231*$C$231))+$C$231)</f>
        <v>11.0520174690621</v>
      </c>
      <c r="Z240" s="81" t="n">
        <f aca="false">2*Z$232*(SQRT((0.125*0.125)+($C$231*$C$231))+$C$231)</f>
        <v>11.554381899474</v>
      </c>
      <c r="AA240" s="81" t="n">
        <f aca="false">2*AA$232*(SQRT((0.125*0.125)+($C$231*$C$231))+$C$231)</f>
        <v>12.0567463298859</v>
      </c>
    </row>
    <row r="241" customFormat="false" ht="15" hidden="false" customHeight="false" outlineLevel="0" collapsed="false">
      <c r="A241" s="16" t="n">
        <v>9</v>
      </c>
      <c r="B241" s="46" t="str">
        <f aca="false">'Stitch Library'!B14</f>
        <v>304 3/16"m ZigZag</v>
      </c>
      <c r="H241" s="81" t="n">
        <f aca="false">2*H$232*(SQRT((0.188*0.188)+($C$231*$C$231))+$C$231)</f>
        <v>3.04897356685477</v>
      </c>
      <c r="I241" s="81" t="n">
        <f aca="false">2*I$232*(SQRT((0.188*0.188)+($C$231*$C$231))+$C$231)</f>
        <v>3.65876828022572</v>
      </c>
      <c r="J241" s="81" t="n">
        <f aca="false">2*J$232*(SQRT((0.188*0.188)+($C$231*$C$231))+$C$231)</f>
        <v>4.26856299359668</v>
      </c>
      <c r="K241" s="81" t="n">
        <f aca="false">2*K$232*(SQRT((0.188*0.188)+($C$231*$C$231))+$C$231)</f>
        <v>4.87835770696763</v>
      </c>
      <c r="L241" s="81" t="n">
        <f aca="false">2*L$232*(SQRT((0.188*0.188)+($C$231*$C$231))+$C$231)</f>
        <v>5.48815242033858</v>
      </c>
      <c r="M241" s="81" t="n">
        <f aca="false">2*M$232*(SQRT((0.188*0.188)+($C$231*$C$231))+$C$231)</f>
        <v>6.09794713370954</v>
      </c>
      <c r="N241" s="81" t="n">
        <f aca="false">2*N$232*(SQRT((0.188*0.188)+($C$231*$C$231))+$C$231)</f>
        <v>6.70774184708049</v>
      </c>
      <c r="O241" s="81" t="n">
        <f aca="false">2*O$232*(SQRT((0.188*0.188)+($C$231*$C$231))+$C$231)</f>
        <v>7.31753656045144</v>
      </c>
      <c r="P241" s="81" t="n">
        <f aca="false">2*P$232*(SQRT((0.188*0.188)+($C$231*$C$231))+$C$231)</f>
        <v>7.9273312738224</v>
      </c>
      <c r="Q241" s="81" t="n">
        <f aca="false">2*Q$232*(SQRT((0.188*0.188)+($C$231*$C$231))+$C$231)</f>
        <v>8.53712598719335</v>
      </c>
      <c r="R241" s="81" t="n">
        <f aca="false">2*R$232*(SQRT((0.188*0.188)+($C$231*$C$231))+$C$231)</f>
        <v>9.14692070056431</v>
      </c>
      <c r="S241" s="81" t="n">
        <f aca="false">2*S$232*(SQRT((0.188*0.188)+($C$231*$C$231))+$C$231)</f>
        <v>9.75671541393526</v>
      </c>
      <c r="T241" s="81" t="n">
        <f aca="false">2*T$232*(SQRT((0.188*0.188)+($C$231*$C$231))+$C$231)</f>
        <v>10.3665101273062</v>
      </c>
      <c r="U241" s="81" t="n">
        <f aca="false">2*U$232*(SQRT((0.188*0.188)+($C$231*$C$231))+$C$231)</f>
        <v>10.9763048406772</v>
      </c>
      <c r="V241" s="81" t="n">
        <f aca="false">2*V$232*(SQRT((0.188*0.188)+($C$231*$C$231))+$C$231)</f>
        <v>11.5860995540481</v>
      </c>
      <c r="W241" s="81" t="n">
        <f aca="false">2*W$232*(SQRT((0.188*0.188)+($C$231*$C$231))+$C$231)</f>
        <v>12.1958942674191</v>
      </c>
      <c r="X241" s="81" t="n">
        <f aca="false">2*X$232*(SQRT((0.188*0.188)+($C$231*$C$231))+$C$231)</f>
        <v>12.80568898079</v>
      </c>
      <c r="Y241" s="81" t="n">
        <f aca="false">2*Y$232*(SQRT((0.188*0.188)+($C$231*$C$231))+$C$231)</f>
        <v>13.415483694161</v>
      </c>
      <c r="Z241" s="81" t="n">
        <f aca="false">2*Z$232*(SQRT((0.188*0.188)+($C$231*$C$231))+$C$231)</f>
        <v>14.0252784075319</v>
      </c>
      <c r="AA241" s="81" t="n">
        <f aca="false">2*AA$232*(SQRT((0.188*0.188)+($C$231*$C$231))+$C$231)</f>
        <v>14.6350731209029</v>
      </c>
    </row>
    <row r="242" customFormat="false" ht="15" hidden="false" customHeight="false" outlineLevel="0" collapsed="false">
      <c r="A242" s="16" t="n">
        <v>10</v>
      </c>
      <c r="B242" s="46" t="str">
        <f aca="false">'Stitch Library'!B15</f>
        <v>304 1/4" ZigZag</v>
      </c>
      <c r="H242" s="81" t="n">
        <f aca="false">2*H$232*(SQRT((0.25*0.25)+($C$231*$C$231))+$C$231)</f>
        <v>3.61748395247412</v>
      </c>
      <c r="I242" s="81" t="n">
        <f aca="false">2*I$232*(SQRT((0.25*0.25)+($C$231*$C$231))+$C$231)</f>
        <v>4.34098074296895</v>
      </c>
      <c r="J242" s="81" t="n">
        <f aca="false">2*J$232*(SQRT((0.25*0.25)+($C$231*$C$231))+$C$231)</f>
        <v>5.06447753346377</v>
      </c>
      <c r="K242" s="81" t="n">
        <f aca="false">2*K$232*(SQRT((0.25*0.25)+($C$231*$C$231))+$C$231)</f>
        <v>5.78797432395859</v>
      </c>
      <c r="L242" s="81" t="n">
        <f aca="false">2*L$232*(SQRT((0.25*0.25)+($C$231*$C$231))+$C$231)</f>
        <v>6.51147111445342</v>
      </c>
      <c r="M242" s="81" t="n">
        <f aca="false">2*M$232*(SQRT((0.25*0.25)+($C$231*$C$231))+$C$231)</f>
        <v>7.23496790494824</v>
      </c>
      <c r="N242" s="81" t="n">
        <f aca="false">2*N$232*(SQRT((0.25*0.25)+($C$231*$C$231))+$C$231)</f>
        <v>7.95846469544307</v>
      </c>
      <c r="O242" s="81" t="n">
        <f aca="false">2*O$232*(SQRT((0.25*0.25)+($C$231*$C$231))+$C$231)</f>
        <v>8.68196148593789</v>
      </c>
      <c r="P242" s="81" t="n">
        <f aca="false">2*P$232*(SQRT((0.25*0.25)+($C$231*$C$231))+$C$231)</f>
        <v>9.40545827643271</v>
      </c>
      <c r="Q242" s="81" t="n">
        <f aca="false">2*Q$232*(SQRT((0.25*0.25)+($C$231*$C$231))+$C$231)</f>
        <v>10.1289550669275</v>
      </c>
      <c r="R242" s="81" t="n">
        <f aca="false">2*R$232*(SQRT((0.25*0.25)+($C$231*$C$231))+$C$231)</f>
        <v>10.8524518574224</v>
      </c>
      <c r="S242" s="81" t="n">
        <f aca="false">2*S$232*(SQRT((0.25*0.25)+($C$231*$C$231))+$C$231)</f>
        <v>11.5759486479172</v>
      </c>
      <c r="T242" s="81" t="n">
        <f aca="false">2*T$232*(SQRT((0.25*0.25)+($C$231*$C$231))+$C$231)</f>
        <v>12.299445438412</v>
      </c>
      <c r="U242" s="81" t="n">
        <f aca="false">2*U$232*(SQRT((0.25*0.25)+($C$231*$C$231))+$C$231)</f>
        <v>13.0229422289068</v>
      </c>
      <c r="V242" s="81" t="n">
        <f aca="false">2*V$232*(SQRT((0.25*0.25)+($C$231*$C$231))+$C$231)</f>
        <v>13.7464390194017</v>
      </c>
      <c r="W242" s="81" t="n">
        <f aca="false">2*W$232*(SQRT((0.25*0.25)+($C$231*$C$231))+$C$231)</f>
        <v>14.4699358098965</v>
      </c>
      <c r="X242" s="81" t="n">
        <f aca="false">2*X$232*(SQRT((0.25*0.25)+($C$231*$C$231))+$C$231)</f>
        <v>15.1934326003913</v>
      </c>
      <c r="Y242" s="81" t="n">
        <f aca="false">2*Y$232*(SQRT((0.25*0.25)+($C$231*$C$231))+$C$231)</f>
        <v>15.9169293908861</v>
      </c>
      <c r="Z242" s="81" t="n">
        <f aca="false">2*Z$232*(SQRT((0.25*0.25)+($C$231*$C$231))+$C$231)</f>
        <v>16.640426181381</v>
      </c>
      <c r="AA242" s="81" t="n">
        <f aca="false">2*AA$232*(SQRT((0.25*0.25)+($C$231*$C$231))+$C$231)</f>
        <v>17.3639229718758</v>
      </c>
    </row>
    <row r="243" customFormat="false" ht="15" hidden="false" customHeight="false" outlineLevel="0" collapsed="false">
      <c r="A243" s="16" t="n">
        <v>11</v>
      </c>
      <c r="B243" s="46" t="str">
        <f aca="false">'Stitch Library'!B16</f>
        <v>308 (2) Step Zig Zag</v>
      </c>
      <c r="F243" s="81" t="n">
        <f aca="false">2*F$232*(SQRT((0.188*0.188)+($C$231*$C$231))+(3*$C$231))</f>
        <v>2.9632424078294</v>
      </c>
      <c r="G243" s="81" t="n">
        <f aca="false">2*G$232*(SQRT((0.188*0.188)+($C$231*$C$231))+(3*$C$231))</f>
        <v>3.95098987710586</v>
      </c>
      <c r="H243" s="81" t="n">
        <f aca="false">2*H$232*(SQRT((0.188*0.188)+($C$231*$C$231))+(3*$C$231))</f>
        <v>4.93873734638233</v>
      </c>
      <c r="I243" s="81" t="n">
        <f aca="false">2*I$232*(SQRT((0.188*0.188)+($C$231*$C$231))+(3*$C$231))</f>
        <v>5.92648481565879</v>
      </c>
      <c r="J243" s="81" t="n">
        <f aca="false">2*J$232*(SQRT((0.188*0.188)+($C$231*$C$231))+(3*$C$231))</f>
        <v>6.91423228493526</v>
      </c>
      <c r="K243" s="81" t="n">
        <f aca="false">2*K$232*(SQRT((0.188*0.188)+($C$231*$C$231))+(3*$C$231))</f>
        <v>7.90197975421172</v>
      </c>
      <c r="L243" s="81" t="n">
        <f aca="false">2*L$232*(SQRT((0.188*0.188)+($C$231*$C$231))+(3*$C$231))</f>
        <v>8.88972722348819</v>
      </c>
      <c r="M243" s="81" t="n">
        <f aca="false">2*M$232*(SQRT((0.188*0.188)+($C$231*$C$231))+(3*$C$231))</f>
        <v>9.87747469276466</v>
      </c>
    </row>
    <row r="244" customFormat="false" ht="15" hidden="false" customHeight="false" outlineLevel="0" collapsed="false">
      <c r="A244" s="16" t="n">
        <v>12</v>
      </c>
      <c r="B244" s="46" t="str">
        <f aca="false">'Stitch Library'!B17</f>
        <v>315 (3) Step Zig Zag</v>
      </c>
      <c r="F244" s="81" t="n">
        <f aca="false">2*F$232*(SQRT((0.25*0.25)+($C$231*$C$231))+(4*$C$231))</f>
        <v>3.87127777305928</v>
      </c>
      <c r="G244" s="81" t="n">
        <f aca="false">2*G$232*(SQRT((0.25*0.25)+($C$231*$C$231))+(4*$C$231))</f>
        <v>5.16170369741237</v>
      </c>
      <c r="H244" s="81" t="n">
        <f aca="false">2*H$232*(SQRT((0.25*0.25)+($C$231*$C$231))+(4*$C$231))</f>
        <v>6.45212962176546</v>
      </c>
      <c r="I244" s="81" t="n">
        <f aca="false">2*I$232*(SQRT((0.25*0.25)+($C$231*$C$231))+(4*$C$231))</f>
        <v>7.74255554611855</v>
      </c>
      <c r="J244" s="81" t="n">
        <f aca="false">2*J$232*(SQRT((0.25*0.25)+($C$231*$C$231))+(4*$C$231))</f>
        <v>9.03298147047164</v>
      </c>
      <c r="K244" s="81" t="n">
        <f aca="false">2*K$232*(SQRT((0.25*0.25)+($C$231*$C$231))+(4*$C$231))</f>
        <v>10.3234073948247</v>
      </c>
      <c r="L244" s="81" t="n">
        <f aca="false">2*L$232*(SQRT((0.25*0.25)+($C$231*$C$231))+(4*$C$231))</f>
        <v>11.6138333191778</v>
      </c>
      <c r="M244" s="81" t="n">
        <f aca="false">2*M$232*(SQRT((0.25*0.25)+($C$231*$C$231))+(4*$C$231))</f>
        <v>12.9042592435309</v>
      </c>
    </row>
    <row r="245" customFormat="false" ht="15" hidden="false" customHeight="false" outlineLevel="0" collapsed="false">
      <c r="A245" s="16" t="n">
        <v>13</v>
      </c>
      <c r="B245" s="46" t="str">
        <f aca="false">'Stitch Library'!B18</f>
        <v>322 (4) Step Zig Zag</v>
      </c>
      <c r="F245" s="81" t="n">
        <f aca="false">2*F$232*(SQRT((0.25*0.25)+($C$231*$C$231))+(5*$C$231))</f>
        <v>4.43820690691754</v>
      </c>
      <c r="G245" s="81" t="n">
        <f aca="false">2*G$232*(SQRT((0.25*0.25)+($C$231*$C$231))+(5*$C$231))</f>
        <v>5.91760920922339</v>
      </c>
      <c r="H245" s="81" t="n">
        <f aca="false">2*H$232*(SQRT((0.25*0.25)+($C$231*$C$231))+(5*$C$231))</f>
        <v>7.39701151152924</v>
      </c>
      <c r="I245" s="81" t="n">
        <f aca="false">2*I$232*(SQRT((0.25*0.25)+($C$231*$C$231))+(5*$C$231))</f>
        <v>8.87641381383509</v>
      </c>
      <c r="J245" s="81" t="n">
        <f aca="false">2*J$232*(SQRT((0.25*0.25)+($C$231*$C$231))+(5*$C$231))</f>
        <v>10.3558161161409</v>
      </c>
      <c r="K245" s="81" t="n">
        <f aca="false">2*K$232*(SQRT((0.25*0.25)+($C$231*$C$231))+(5*$C$231))</f>
        <v>11.8352184184468</v>
      </c>
      <c r="L245" s="81" t="n">
        <f aca="false">2*L$232*(SQRT((0.25*0.25)+($C$231*$C$231))+(5*$C$231))</f>
        <v>13.3146207207526</v>
      </c>
      <c r="M245" s="81" t="n">
        <f aca="false">2*M$232*(SQRT((0.25*0.25)+($C$231*$C$231))+(5*$C$231))</f>
        <v>14.7940230230585</v>
      </c>
    </row>
    <row r="246" customFormat="false" ht="15" hidden="false" customHeight="false" outlineLevel="0" collapsed="false">
      <c r="A246" s="16" t="n">
        <v>14</v>
      </c>
      <c r="B246" s="46" t="str">
        <f aca="false">'Stitch Library'!B19</f>
        <v>401 Chainstitch</v>
      </c>
      <c r="H246" s="81" t="n">
        <f aca="false">IF(Setup!$C$27="Original",4*2*($C$231*H$232),4+2*($C$231*H$232))</f>
        <v>4.94488188976378</v>
      </c>
      <c r="I246" s="81" t="n">
        <f aca="false">IF(Setup!$C$27="Original",4*2*($C$231*I$232),4+2*($C$231*I$232))</f>
        <v>5.13385826771654</v>
      </c>
      <c r="J246" s="81" t="n">
        <f aca="false">IF(Setup!$C$27="Original",4*2*($C$231*J$232),4+2*($C$231*J$232))</f>
        <v>5.32283464566929</v>
      </c>
      <c r="K246" s="81" t="n">
        <f aca="false">IF(Setup!$C$27="Original",4*2*($C$231*K$232),4+2*($C$231*K$232))</f>
        <v>5.51181102362205</v>
      </c>
      <c r="L246" s="81" t="n">
        <f aca="false">IF(Setup!$C$27="Original",4*2*($C$231*L$232),4+2*($C$231*L$232))</f>
        <v>5.7007874015748</v>
      </c>
      <c r="M246" s="81" t="n">
        <f aca="false">IF(Setup!$C$27="Original",4*2*($C$231*M$232),4+2*($C$231*M$232))</f>
        <v>5.88976377952756</v>
      </c>
      <c r="N246" s="81" t="n">
        <f aca="false">IF(Setup!$C$27="Original",4*2*($C$231*N$232),4+2*($C$231*N$232))</f>
        <v>6.07874015748032</v>
      </c>
      <c r="O246" s="81" t="n">
        <f aca="false">IF(Setup!$C$27="Original",4*2*($C$231*O$232),4+2*($C$231*O$232))</f>
        <v>6.26771653543307</v>
      </c>
      <c r="P246" s="81" t="n">
        <f aca="false">IF(Setup!$C$27="Original",4*2*($C$231*P$232),4+2*($C$231*P$232))</f>
        <v>6.45669291338583</v>
      </c>
      <c r="Q246" s="81" t="n">
        <f aca="false">IF(Setup!$C$27="Original",4*2*($C$231*Q$232),4+2*($C$231*Q$232))</f>
        <v>6.64566929133858</v>
      </c>
      <c r="R246" s="81" t="n">
        <f aca="false">IF(Setup!$C$27="Original",4*2*($C$231*R$232),4+2*($C$231*R$232))</f>
        <v>6.83464566929134</v>
      </c>
      <c r="S246" s="81" t="n">
        <f aca="false">IF(Setup!$C$27="Original",4*2*($C$231*S$232),4+2*($C$231*S$232))</f>
        <v>7.02362204724409</v>
      </c>
      <c r="T246" s="81" t="n">
        <f aca="false">IF(Setup!$C$27="Original",4*2*($C$231*T$232),4+2*($C$231*T$232))</f>
        <v>7.21259842519685</v>
      </c>
      <c r="U246" s="81" t="n">
        <f aca="false">IF(Setup!$C$27="Original",4*2*($C$231*U$232),4+2*($C$231*U$232))</f>
        <v>7.40157480314961</v>
      </c>
      <c r="V246" s="81" t="n">
        <f aca="false">IF(Setup!$C$27="Original",4*2*($C$231*V$232),4+2*($C$231*V$232))</f>
        <v>7.59055118110236</v>
      </c>
      <c r="W246" s="81" t="n">
        <f aca="false">IF(Setup!$C$27="Original",4*2*($C$231*W$232),4+2*($C$231*W$232))</f>
        <v>7.77952755905512</v>
      </c>
      <c r="X246" s="81" t="n">
        <f aca="false">IF(Setup!$C$27="Original",4*2*($C$231*X$232),4+2*($C$231*X$232))</f>
        <v>7.96850393700787</v>
      </c>
      <c r="Y246" s="81" t="n">
        <f aca="false">IF(Setup!$C$27="Original",4*2*($C$231*Y$232),4+2*($C$231*Y$232))</f>
        <v>8.15748031496063</v>
      </c>
      <c r="Z246" s="81" t="n">
        <f aca="false">IF(Setup!$C$27="Original",4*2*($C$231*Z$232),4+2*($C$231*Z$232))</f>
        <v>8.34645669291339</v>
      </c>
      <c r="AA246" s="81" t="n">
        <f aca="false">IF(Setup!$C$27="Original",4*2*($C$231*AA$232),4+2*($C$231*AA$232))</f>
        <v>8.53543307086614</v>
      </c>
    </row>
    <row r="247" customFormat="false" ht="15" hidden="false" customHeight="false" outlineLevel="0" collapsed="false">
      <c r="A247" s="16" t="n">
        <v>15</v>
      </c>
      <c r="B247" s="46" t="str">
        <f aca="false">'Stitch Library'!B20</f>
        <v>404 ZigZag Chain</v>
      </c>
      <c r="H247" s="81" t="n">
        <f aca="false">2*H$232*(2*(SQRT((0.125*0.125)+((1/H$232)*(1/H$232)))+$C$231))</f>
        <v>6.60675434555586</v>
      </c>
      <c r="I247" s="81" t="n">
        <f aca="false">2*I$232*(2*(SQRT((0.125*0.125)+((1/I$232)*(1/I$232)))+$C$231))</f>
        <v>7.26771653543307</v>
      </c>
      <c r="J247" s="81" t="n">
        <f aca="false">2*J$232*(2*(SQRT((0.125*0.125)+((1/J$232)*(1/J$232)))+$C$231))</f>
        <v>7.96074219770591</v>
      </c>
      <c r="K247" s="81" t="n">
        <f aca="false">2*K$232*(2*(SQRT((0.125*0.125)+((1/K$232)*(1/K$232)))+$C$231))</f>
        <v>8.68047629673648</v>
      </c>
      <c r="L247" s="81" t="n">
        <f aca="false">2*L$232*(2*(SQRT((0.125*0.125)+((1/L$232)*(1/L$232)))+$C$231))</f>
        <v>9.42237209254575</v>
      </c>
      <c r="M247" s="81" t="n">
        <f aca="false">2*M$232*(2*(SQRT((0.125*0.125)+((1/M$232)*(1/M$232)))+$C$231))</f>
        <v>10.182651796488</v>
      </c>
      <c r="N247" s="81" t="n">
        <f aca="false">2*N$232*(2*(SQRT((0.125*0.125)+((1/N$232)*(1/N$232)))+$C$231))</f>
        <v>10.9582155693284</v>
      </c>
      <c r="O247" s="81" t="n">
        <f aca="false">2*O$232*(2*(SQRT((0.125*0.125)+((1/O$232)*(1/O$232)))+$C$231))</f>
        <v>11.7465356217941</v>
      </c>
      <c r="P247" s="81" t="n">
        <f aca="false">2*P$232*(2*(SQRT((0.125*0.125)+((1/P$232)*(1/P$232)))+$C$231))</f>
        <v>12.5455545880085</v>
      </c>
      <c r="Q247" s="81" t="n">
        <f aca="false">2*Q$232*(2*(SQRT((0.125*0.125)+((1/Q$232)*(1/Q$232)))+$C$231))</f>
        <v>13.3535963309757</v>
      </c>
      <c r="R247" s="81" t="n">
        <f aca="false">2*R$232*(2*(SQRT((0.125*0.125)+((1/R$232)*(1/R$232)))+$C$231))</f>
        <v>14.1692913385827</v>
      </c>
      <c r="S247" s="81" t="n">
        <f aca="false">2*S$232*(2*(SQRT((0.125*0.125)+((1/S$232)*(1/S$232)))+$C$231))</f>
        <v>14.9915160044873</v>
      </c>
      <c r="T247" s="81" t="n">
        <f aca="false">2*T$232*(2*(SQRT((0.125*0.125)+((1/T$232)*(1/T$232)))+$C$231))</f>
        <v>15.8193439644217</v>
      </c>
      <c r="U247" s="81" t="n">
        <f aca="false">2*U$232*(2*(SQRT((0.125*0.125)+((1/U$232)*(1/U$232)))+$C$231))</f>
        <v>16.6520074080953</v>
      </c>
      <c r="V247" s="81" t="n">
        <f aca="false">2*V$232*(2*(SQRT((0.125*0.125)+((1/V$232)*(1/V$232)))+$C$231))</f>
        <v>17.4888664262489</v>
      </c>
      <c r="W247" s="81" t="n">
        <f aca="false">2*W$232*(2*(SQRT((0.125*0.125)+((1/W$232)*(1/W$232)))+$C$231))</f>
        <v>18.3293847323792</v>
      </c>
      <c r="X247" s="81" t="n">
        <f aca="false">2*X$232*(2*(SQRT((0.125*0.125)+((1/X$232)*(1/X$232)))+$C$231))</f>
        <v>19.1731104011379</v>
      </c>
      <c r="Y247" s="81" t="n">
        <f aca="false">2*Y$232*(2*(SQRT((0.125*0.125)+((1/Y$232)*(1/Y$232)))+$C$231))</f>
        <v>20.0196605406409</v>
      </c>
      <c r="Z247" s="81" t="n">
        <f aca="false">2*Z$232*(2*(SQRT((0.125*0.125)+((1/Z$232)*(1/Z$232)))+$C$231))</f>
        <v>20.8687090477127</v>
      </c>
      <c r="AA247" s="81" t="n">
        <f aca="false">2*AA$232*(2*(SQRT((0.125*0.125)+((1/AA$232)*(1/AA$232)))+$C$231))</f>
        <v>21.7199767824058</v>
      </c>
    </row>
    <row r="248" customFormat="false" ht="15" hidden="false" customHeight="false" outlineLevel="0" collapsed="false">
      <c r="A248" s="16" t="n">
        <v>16</v>
      </c>
      <c r="B248" s="46" t="str">
        <f aca="false">'Stitch Library'!B21</f>
        <v>406 1/8"m Btm Cover</v>
      </c>
      <c r="H248" s="81" t="n">
        <f aca="false">7+(2*H$232*(2*$C$231+0.125))</f>
        <v>10.1397637795276</v>
      </c>
      <c r="I248" s="81" t="n">
        <f aca="false">7+(2*I$232*(2*$C$231+0.125))</f>
        <v>10.7677165354331</v>
      </c>
      <c r="J248" s="81" t="n">
        <f aca="false">7+(2*J$232*(2*$C$231+0.125))</f>
        <v>11.3956692913386</v>
      </c>
      <c r="K248" s="81" t="n">
        <f aca="false">7+(2*K$232*(2*$C$231+0.125))</f>
        <v>12.0236220472441</v>
      </c>
      <c r="L248" s="81" t="n">
        <f aca="false">7+(2*L$232*(2*$C$231+0.125))</f>
        <v>12.6515748031496</v>
      </c>
      <c r="M248" s="81" t="n">
        <f aca="false">7+(2*M$232*(2*$C$231+0.125))</f>
        <v>13.2795275590551</v>
      </c>
      <c r="N248" s="81" t="n">
        <f aca="false">7+(2*N$232*(2*$C$231+0.125))</f>
        <v>13.9074803149606</v>
      </c>
      <c r="O248" s="81" t="n">
        <f aca="false">7+(2*O$232*(2*$C$231+0.125))</f>
        <v>14.5354330708661</v>
      </c>
      <c r="P248" s="81" t="n">
        <f aca="false">7+(2*P$232*(2*$C$231+0.125))</f>
        <v>15.1633858267717</v>
      </c>
      <c r="Q248" s="81" t="n">
        <f aca="false">7+(2*Q$232*(2*$C$231+0.125))</f>
        <v>15.7913385826772</v>
      </c>
      <c r="R248" s="81" t="n">
        <f aca="false">7+(2*R$232*(2*$C$231+0.125))</f>
        <v>16.4192913385827</v>
      </c>
      <c r="S248" s="81" t="n">
        <f aca="false">7+(2*S$232*(2*$C$231+0.125))</f>
        <v>17.0472440944882</v>
      </c>
      <c r="T248" s="81" t="n">
        <f aca="false">7+(2*T$232*(2*$C$231+0.125))</f>
        <v>17.6751968503937</v>
      </c>
      <c r="U248" s="81" t="n">
        <f aca="false">7+(2*U$232*(2*$C$231+0.125))</f>
        <v>18.3031496062992</v>
      </c>
      <c r="V248" s="81" t="n">
        <f aca="false">7+(2*V$232*(2*$C$231+0.125))</f>
        <v>18.9311023622047</v>
      </c>
      <c r="W248" s="81" t="n">
        <f aca="false">7+(2*W$232*(2*$C$231+0.125))</f>
        <v>19.5590551181102</v>
      </c>
      <c r="X248" s="81" t="n">
        <f aca="false">7+(2*X$232*(2*$C$231+0.125))</f>
        <v>20.1870078740157</v>
      </c>
      <c r="Y248" s="81" t="n">
        <f aca="false">7+(2*Y$232*(2*$C$231+0.125))</f>
        <v>20.8149606299213</v>
      </c>
      <c r="Z248" s="81" t="n">
        <f aca="false">7+(2*Z$232*(2*$C$231+0.125))</f>
        <v>21.4429133858268</v>
      </c>
      <c r="AA248" s="81" t="n">
        <f aca="false">7+(2*AA$232*(2*$C$231+0.125))</f>
        <v>22.0708661417323</v>
      </c>
    </row>
    <row r="249" customFormat="false" ht="15" hidden="false" customHeight="false" outlineLevel="0" collapsed="false">
      <c r="A249" s="16" t="n">
        <v>17</v>
      </c>
      <c r="B249" s="46" t="str">
        <f aca="false">'Stitch Library'!B22</f>
        <v>406 3/16" Btm Cover</v>
      </c>
      <c r="H249" s="81" t="n">
        <f aca="false">7+(2*H$232*(2*$C$231+0.188))</f>
        <v>10.7697637795276</v>
      </c>
      <c r="I249" s="81" t="n">
        <f aca="false">7+(2*I$232*(2*$C$231+0.188))</f>
        <v>11.5237165354331</v>
      </c>
      <c r="J249" s="81" t="n">
        <f aca="false">7+(2*J$232*(2*$C$231+0.188))</f>
        <v>12.2776692913386</v>
      </c>
      <c r="K249" s="81" t="n">
        <f aca="false">7+(2*K$232*(2*$C$231+0.188))</f>
        <v>13.0316220472441</v>
      </c>
      <c r="L249" s="81" t="n">
        <f aca="false">7+(2*L$232*(2*$C$231+0.188))</f>
        <v>13.7855748031496</v>
      </c>
      <c r="M249" s="81" t="n">
        <f aca="false">7+(2*M$232*(2*$C$231+0.188))</f>
        <v>14.5395275590551</v>
      </c>
      <c r="N249" s="81" t="n">
        <f aca="false">7+(2*N$232*(2*$C$231+0.188))</f>
        <v>15.2934803149606</v>
      </c>
      <c r="O249" s="81" t="n">
        <f aca="false">7+(2*O$232*(2*$C$231+0.188))</f>
        <v>16.0474330708661</v>
      </c>
      <c r="P249" s="81" t="n">
        <f aca="false">7+(2*P$232*(2*$C$231+0.188))</f>
        <v>16.8013858267717</v>
      </c>
      <c r="Q249" s="81" t="n">
        <f aca="false">7+(2*Q$232*(2*$C$231+0.188))</f>
        <v>17.5553385826772</v>
      </c>
      <c r="R249" s="81" t="n">
        <f aca="false">7+(2*R$232*(2*$C$231+0.188))</f>
        <v>18.3092913385827</v>
      </c>
      <c r="S249" s="81" t="n">
        <f aca="false">7+(2*S$232*(2*$C$231+0.188))</f>
        <v>19.0632440944882</v>
      </c>
      <c r="T249" s="81" t="n">
        <f aca="false">7+(2*T$232*(2*$C$231+0.188))</f>
        <v>19.8171968503937</v>
      </c>
      <c r="U249" s="81" t="n">
        <f aca="false">7+(2*U$232*(2*$C$231+0.188))</f>
        <v>20.5711496062992</v>
      </c>
      <c r="V249" s="81" t="n">
        <f aca="false">7+(2*V$232*(2*$C$231+0.188))</f>
        <v>21.3251023622047</v>
      </c>
      <c r="W249" s="81" t="n">
        <f aca="false">7+(2*W$232*(2*$C$231+0.188))</f>
        <v>22.0790551181102</v>
      </c>
      <c r="X249" s="81" t="n">
        <f aca="false">7+(2*X$232*(2*$C$231+0.188))</f>
        <v>22.8330078740158</v>
      </c>
      <c r="Y249" s="81" t="n">
        <f aca="false">7+(2*Y$232*(2*$C$231+0.188))</f>
        <v>23.5869606299213</v>
      </c>
      <c r="Z249" s="81" t="n">
        <f aca="false">7+(2*Z$232*(2*$C$231+0.188))</f>
        <v>24.3409133858268</v>
      </c>
      <c r="AA249" s="81" t="n">
        <f aca="false">7+(2*AA$232*(2*$C$231+0.188))</f>
        <v>25.0948661417323</v>
      </c>
    </row>
    <row r="250" customFormat="false" ht="15" hidden="false" customHeight="false" outlineLevel="0" collapsed="false">
      <c r="A250" s="16" t="n">
        <v>18</v>
      </c>
      <c r="B250" s="46" t="str">
        <f aca="false">'Stitch Library'!B23</f>
        <v>406 1/4" Btm Cover</v>
      </c>
      <c r="H250" s="81" t="n">
        <f aca="false">7+(2*H$232*(2*$C$231+0.25))</f>
        <v>11.3897637795276</v>
      </c>
      <c r="I250" s="81" t="n">
        <f aca="false">7+(2*I$232*(2*$C$231+0.25))</f>
        <v>12.2677165354331</v>
      </c>
      <c r="J250" s="81" t="n">
        <f aca="false">7+(2*J$232*(2*$C$231+0.25))</f>
        <v>13.1456692913386</v>
      </c>
      <c r="K250" s="81" t="n">
        <f aca="false">7+(2*K$232*(2*$C$231+0.25))</f>
        <v>14.0236220472441</v>
      </c>
      <c r="L250" s="81" t="n">
        <f aca="false">7+(2*L$232*(2*$C$231+0.25))</f>
        <v>14.9015748031496</v>
      </c>
      <c r="M250" s="81" t="n">
        <f aca="false">7+(2*M$232*(2*$C$231+0.25))</f>
        <v>15.7795275590551</v>
      </c>
      <c r="N250" s="81" t="n">
        <f aca="false">7+(2*N$232*(2*$C$231+0.25))</f>
        <v>16.6574803149606</v>
      </c>
      <c r="O250" s="81" t="n">
        <f aca="false">7+(2*O$232*(2*$C$231+0.25))</f>
        <v>17.5354330708661</v>
      </c>
      <c r="P250" s="81" t="n">
        <f aca="false">7+(2*P$232*(2*$C$231+0.25))</f>
        <v>18.4133858267717</v>
      </c>
      <c r="Q250" s="81" t="n">
        <f aca="false">7+(2*Q$232*(2*$C$231+0.25))</f>
        <v>19.2913385826772</v>
      </c>
      <c r="R250" s="81" t="n">
        <f aca="false">7+(2*R$232*(2*$C$231+0.25))</f>
        <v>20.1692913385827</v>
      </c>
      <c r="S250" s="81" t="n">
        <f aca="false">7+(2*S$232*(2*$C$231+0.25))</f>
        <v>21.0472440944882</v>
      </c>
      <c r="T250" s="81" t="n">
        <f aca="false">7+(2*T$232*(2*$C$231+0.25))</f>
        <v>21.9251968503937</v>
      </c>
      <c r="U250" s="81" t="n">
        <f aca="false">7+(2*U$232*(2*$C$231+0.25))</f>
        <v>22.8031496062992</v>
      </c>
      <c r="V250" s="81" t="n">
        <f aca="false">7+(2*V$232*(2*$C$231+0.25))</f>
        <v>23.6811023622047</v>
      </c>
      <c r="W250" s="81" t="n">
        <f aca="false">7+(2*W$232*(2*$C$231+0.25))</f>
        <v>24.5590551181102</v>
      </c>
      <c r="X250" s="81" t="n">
        <f aca="false">7+(2*X$232*(2*$C$231+0.25))</f>
        <v>25.4370078740157</v>
      </c>
      <c r="Y250" s="81" t="n">
        <f aca="false">7+(2*Y$232*(2*$C$231+0.25))</f>
        <v>26.3149606299213</v>
      </c>
      <c r="Z250" s="81" t="n">
        <f aca="false">7+(2*Z$232*(2*$C$231+0.25))</f>
        <v>27.1929133858268</v>
      </c>
      <c r="AA250" s="81" t="n">
        <f aca="false">7+(2*AA$232*(2*$C$231+0.25))</f>
        <v>28.0708661417323</v>
      </c>
    </row>
    <row r="251" customFormat="false" ht="15" hidden="false" customHeight="false" outlineLevel="0" collapsed="false">
      <c r="A251" s="16" t="n">
        <v>19</v>
      </c>
      <c r="B251" s="46" t="str">
        <f aca="false">'Stitch Library'!B24</f>
        <v>407 3Ndl Btm Cover</v>
      </c>
      <c r="H251" s="81" t="n">
        <f aca="false">9+2*H$232*(3*$C$231+0.25)</f>
        <v>14.3346456692913</v>
      </c>
      <c r="I251" s="81" t="n">
        <f aca="false">9+2*I$232*(3*$C$231+0.25)</f>
        <v>15.4015748031496</v>
      </c>
      <c r="J251" s="81" t="n">
        <f aca="false">9+2*J$232*(3*$C$231+0.25)</f>
        <v>16.4685039370079</v>
      </c>
      <c r="K251" s="81" t="n">
        <f aca="false">9+2*K$232*(3*$C$231+0.25)</f>
        <v>17.5354330708661</v>
      </c>
      <c r="L251" s="81" t="n">
        <f aca="false">9+2*L$232*(3*$C$231+0.25)</f>
        <v>18.6023622047244</v>
      </c>
      <c r="M251" s="81" t="n">
        <f aca="false">9+2*M$232*(3*$C$231+0.25)</f>
        <v>19.6692913385827</v>
      </c>
      <c r="N251" s="81" t="n">
        <f aca="false">9+2*N$232*(3*$C$231+0.25)</f>
        <v>20.7362204724409</v>
      </c>
      <c r="O251" s="81" t="n">
        <f aca="false">9+2*O$232*(3*$C$231+0.25)</f>
        <v>21.8031496062992</v>
      </c>
      <c r="P251" s="81" t="n">
        <f aca="false">9+2*P$232*(3*$C$231+0.25)</f>
        <v>22.8700787401575</v>
      </c>
      <c r="Q251" s="81" t="n">
        <f aca="false">9+2*Q$232*(3*$C$231+0.25)</f>
        <v>23.9370078740157</v>
      </c>
      <c r="R251" s="81" t="n">
        <f aca="false">9+2*R$232*(3*$C$231+0.25)</f>
        <v>25.003937007874</v>
      </c>
      <c r="S251" s="81" t="n">
        <f aca="false">9+2*S$232*(3*$C$231+0.25)</f>
        <v>26.0708661417323</v>
      </c>
      <c r="T251" s="81" t="n">
        <f aca="false">9+2*T$232*(3*$C$231+0.25)</f>
        <v>27.1377952755906</v>
      </c>
      <c r="U251" s="81" t="n">
        <f aca="false">9+2*U$232*(3*$C$231+0.25)</f>
        <v>28.2047244094488</v>
      </c>
      <c r="V251" s="81" t="n">
        <f aca="false">9+2*V$232*(3*$C$231+0.25)</f>
        <v>29.2716535433071</v>
      </c>
      <c r="W251" s="81" t="n">
        <f aca="false">9+2*W$232*(3*$C$231+0.25)</f>
        <v>30.3385826771654</v>
      </c>
      <c r="X251" s="81" t="n">
        <f aca="false">9+2*X$232*(3*$C$231+0.25)</f>
        <v>31.4055118110236</v>
      </c>
      <c r="Y251" s="81" t="n">
        <f aca="false">9+2*Y$232*(3*$C$231+0.25)</f>
        <v>32.4724409448819</v>
      </c>
      <c r="Z251" s="81" t="n">
        <f aca="false">9+2*Z$232*(3*$C$231+0.25)</f>
        <v>33.5393700787402</v>
      </c>
      <c r="AA251" s="81" t="n">
        <f aca="false">9+2*AA$232*(3*$C$231+0.25)</f>
        <v>34.6062992125984</v>
      </c>
    </row>
    <row r="252" customFormat="false" ht="15" hidden="false" customHeight="false" outlineLevel="0" collapsed="false">
      <c r="A252" s="16" t="n">
        <v>20</v>
      </c>
      <c r="B252" s="46" t="str">
        <f aca="false">'Stitch Library'!B25</f>
        <v>408 Pkt Facings</v>
      </c>
      <c r="H252" s="80" t="n">
        <v>15.35</v>
      </c>
      <c r="I252" s="80" t="n">
        <v>16.82</v>
      </c>
      <c r="J252" s="80" t="n">
        <v>18.29</v>
      </c>
      <c r="K252" s="80" t="n">
        <v>19.76</v>
      </c>
      <c r="L252" s="80" t="n">
        <v>21.23</v>
      </c>
      <c r="M252" s="80" t="n">
        <v>22.7</v>
      </c>
      <c r="N252" s="80" t="n">
        <v>24.17</v>
      </c>
      <c r="O252" s="80" t="n">
        <v>25.64</v>
      </c>
      <c r="P252" s="80" t="n">
        <v>27.11</v>
      </c>
      <c r="Q252" s="80" t="n">
        <v>28.58</v>
      </c>
      <c r="R252" s="80" t="n">
        <v>30.05</v>
      </c>
      <c r="S252" s="80" t="n">
        <v>31.52</v>
      </c>
      <c r="T252" s="80" t="n">
        <v>32.99</v>
      </c>
      <c r="U252" s="80" t="n">
        <v>34.46</v>
      </c>
      <c r="V252" s="80" t="n">
        <v>35.93</v>
      </c>
      <c r="W252" s="80" t="n">
        <v>37.4</v>
      </c>
      <c r="X252" s="80" t="n">
        <v>38.87</v>
      </c>
      <c r="Y252" s="80" t="n">
        <v>40.34</v>
      </c>
      <c r="Z252" s="80" t="n">
        <v>41.81</v>
      </c>
      <c r="AA252" s="80" t="n">
        <v>43.28</v>
      </c>
    </row>
    <row r="253" customFormat="false" ht="15" hidden="false" customHeight="false" outlineLevel="0" collapsed="false">
      <c r="A253" s="16" t="n">
        <v>21</v>
      </c>
      <c r="B253" s="46" t="str">
        <f aca="false">'Stitch Library'!B26</f>
        <v>411 Picoetta Stitch</v>
      </c>
      <c r="E253" s="81" t="n">
        <f aca="false">8*(4*(2*($C$231*E$232)))</f>
        <v>12.0944881889764</v>
      </c>
      <c r="F253" s="81" t="n">
        <f aca="false">8*(4*(2*($C$231*F$232)))</f>
        <v>18.1417322834646</v>
      </c>
      <c r="G253" s="81" t="n">
        <f aca="false">8*(4*(2*($C$231*G$232)))</f>
        <v>24.1889763779528</v>
      </c>
      <c r="H253" s="81" t="n">
        <f aca="false">8*(4*(2*($C$231*H$232)))</f>
        <v>30.2362204724409</v>
      </c>
    </row>
    <row r="254" customFormat="false" ht="15" hidden="false" customHeight="false" outlineLevel="0" collapsed="false">
      <c r="A254" s="16" t="n">
        <v>22</v>
      </c>
      <c r="B254" s="46" t="str">
        <f aca="false">'Stitch Library'!B27</f>
        <v>503 1/8" 2Thd Serge</v>
      </c>
      <c r="H254" s="81" t="n">
        <f aca="false">4*(H$232*(0.125+$C$231))+2</f>
        <v>6.38976377952756</v>
      </c>
      <c r="I254" s="81" t="n">
        <f aca="false">4*(I$232*(0.125+$C$231))+2</f>
        <v>7.26771653543307</v>
      </c>
      <c r="J254" s="81" t="n">
        <f aca="false">4*(J$232*(0.125+$C$231))+2</f>
        <v>8.14566929133858</v>
      </c>
      <c r="K254" s="81" t="n">
        <f aca="false">4*(K$232*(0.125+$C$231))+2</f>
        <v>9.02362204724409</v>
      </c>
      <c r="L254" s="81" t="n">
        <f aca="false">4*(L$232*(0.125+$C$231))+2</f>
        <v>9.90157480314961</v>
      </c>
      <c r="M254" s="81" t="n">
        <f aca="false">4*(M$232*(0.125+$C$231))+2</f>
        <v>10.7795275590551</v>
      </c>
      <c r="N254" s="81" t="n">
        <f aca="false">4*(N$232*(0.125+$C$231))+2</f>
        <v>11.6574803149606</v>
      </c>
      <c r="O254" s="81" t="n">
        <f aca="false">4*(O$232*(0.125+$C$231))+2</f>
        <v>12.5354330708661</v>
      </c>
      <c r="P254" s="81" t="n">
        <f aca="false">4*(P$232*(0.125+$C$231))+2</f>
        <v>13.4133858267717</v>
      </c>
      <c r="Q254" s="81" t="n">
        <f aca="false">4*(Q$232*(0.125+$C$231))+2</f>
        <v>14.2913385826772</v>
      </c>
      <c r="R254" s="81" t="n">
        <f aca="false">4*(R$232*(0.125+$C$231))+2</f>
        <v>15.1692913385827</v>
      </c>
      <c r="S254" s="81" t="n">
        <f aca="false">4*(S$232*(0.125+$C$231))+2</f>
        <v>16.0472440944882</v>
      </c>
      <c r="T254" s="81" t="n">
        <f aca="false">4*(T$232*(0.125+$C$231))+2</f>
        <v>16.9251968503937</v>
      </c>
      <c r="U254" s="81" t="n">
        <f aca="false">4*(U$232*(0.125+$C$231))+2</f>
        <v>17.8031496062992</v>
      </c>
      <c r="V254" s="81" t="n">
        <f aca="false">4*(V$232*(0.125+$C$231))+2</f>
        <v>18.6811023622047</v>
      </c>
      <c r="W254" s="81" t="n">
        <f aca="false">4*(W$232*(0.125+$C$231))+2</f>
        <v>19.5590551181102</v>
      </c>
      <c r="X254" s="81" t="n">
        <f aca="false">4*(X$232*(0.125+$C$231))+2</f>
        <v>20.4370078740157</v>
      </c>
      <c r="Y254" s="81" t="n">
        <f aca="false">4*(Y$232*(0.125+$C$231))+2</f>
        <v>21.3149606299213</v>
      </c>
      <c r="Z254" s="81" t="n">
        <f aca="false">4*(Z$232*(0.125+$C$231))+2</f>
        <v>22.1929133858268</v>
      </c>
      <c r="AA254" s="81" t="n">
        <f aca="false">4*(AA$232*(0.125+$C$231))+2</f>
        <v>23.0708661417323</v>
      </c>
    </row>
    <row r="255" customFormat="false" ht="15" hidden="false" customHeight="false" outlineLevel="0" collapsed="false">
      <c r="A255" s="16" t="n">
        <v>23</v>
      </c>
      <c r="B255" s="46" t="str">
        <f aca="false">'Stitch Library'!B28</f>
        <v>503 3/16" 2 Thd Serge</v>
      </c>
      <c r="H255" s="81" t="n">
        <f aca="false">4*(H$232*(0.188+$C$231))+2</f>
        <v>7.64976377952756</v>
      </c>
      <c r="I255" s="81" t="n">
        <f aca="false">4*(I$232*(0.188+$C$231))+2</f>
        <v>8.77971653543307</v>
      </c>
      <c r="J255" s="81" t="n">
        <f aca="false">4*(J$232*(0.188+$C$231))+2</f>
        <v>9.90966929133858</v>
      </c>
      <c r="K255" s="81" t="n">
        <f aca="false">4*(K$232*(0.188+$C$231))+2</f>
        <v>11.0396220472441</v>
      </c>
      <c r="L255" s="81" t="n">
        <f aca="false">4*(L$232*(0.188+$C$231))+2</f>
        <v>12.1695748031496</v>
      </c>
      <c r="M255" s="81" t="n">
        <f aca="false">4*(M$232*(0.188+$C$231))+2</f>
        <v>13.2995275590551</v>
      </c>
      <c r="N255" s="81" t="n">
        <f aca="false">4*(N$232*(0.188+$C$231))+2</f>
        <v>14.4294803149606</v>
      </c>
      <c r="O255" s="81" t="n">
        <f aca="false">4*(O$232*(0.188+$C$231))+2</f>
        <v>15.5594330708661</v>
      </c>
      <c r="P255" s="81" t="n">
        <f aca="false">4*(P$232*(0.188+$C$231))+2</f>
        <v>16.6893858267717</v>
      </c>
      <c r="Q255" s="81" t="n">
        <f aca="false">4*(Q$232*(0.188+$C$231))+2</f>
        <v>17.8193385826772</v>
      </c>
      <c r="R255" s="81" t="n">
        <f aca="false">4*(R$232*(0.188+$C$231))+2</f>
        <v>18.9492913385827</v>
      </c>
      <c r="S255" s="81" t="n">
        <f aca="false">4*(S$232*(0.188+$C$231))+2</f>
        <v>20.0792440944882</v>
      </c>
      <c r="T255" s="81" t="n">
        <f aca="false">4*(T$232*(0.188+$C$231))+2</f>
        <v>21.2091968503937</v>
      </c>
      <c r="U255" s="81" t="n">
        <f aca="false">4*(U$232*(0.188+$C$231))+2</f>
        <v>22.3391496062992</v>
      </c>
      <c r="V255" s="81" t="n">
        <f aca="false">4*(V$232*(0.188+$C$231))+2</f>
        <v>23.4691023622047</v>
      </c>
      <c r="W255" s="81" t="n">
        <f aca="false">4*(W$232*(0.188+$C$231))+2</f>
        <v>24.5990551181102</v>
      </c>
      <c r="X255" s="81" t="n">
        <f aca="false">4*(X$232*(0.188+$C$231))+2</f>
        <v>25.7290078740158</v>
      </c>
      <c r="Y255" s="81" t="n">
        <f aca="false">4*(Y$232*(0.188+$C$231))+2</f>
        <v>26.8589606299213</v>
      </c>
      <c r="Z255" s="81" t="n">
        <f aca="false">4*(Z$232*(0.188+$C$231))+2</f>
        <v>27.9889133858268</v>
      </c>
      <c r="AA255" s="81" t="n">
        <f aca="false">4*(AA$232*(0.188+$C$231))+2</f>
        <v>29.1188661417323</v>
      </c>
    </row>
    <row r="256" customFormat="false" ht="15" hidden="false" customHeight="false" outlineLevel="0" collapsed="false">
      <c r="A256" s="16" t="n">
        <v>24</v>
      </c>
      <c r="B256" s="46" t="str">
        <f aca="false">'Stitch Library'!B29</f>
        <v>503 1/4" 2 Thd Serge</v>
      </c>
      <c r="H256" s="81" t="n">
        <f aca="false">4*(H$232*(0.25+$C$231))+2</f>
        <v>8.88976377952756</v>
      </c>
      <c r="I256" s="81" t="n">
        <f aca="false">4*(I$232*(0.25+$C$231))+2</f>
        <v>10.2677165354331</v>
      </c>
      <c r="J256" s="81" t="n">
        <f aca="false">4*(J$232*(0.25+$C$231))+2</f>
        <v>11.6456692913386</v>
      </c>
      <c r="K256" s="81" t="n">
        <f aca="false">4*(K$232*(0.25+$C$231))+2</f>
        <v>13.0236220472441</v>
      </c>
      <c r="L256" s="81" t="n">
        <f aca="false">4*(L$232*(0.25+$C$231))+2</f>
        <v>14.4015748031496</v>
      </c>
      <c r="M256" s="81" t="n">
        <f aca="false">4*(M$232*(0.25+$C$231))+2</f>
        <v>15.7795275590551</v>
      </c>
      <c r="N256" s="81" t="n">
        <f aca="false">4*(N$232*(0.25+$C$231))+2</f>
        <v>17.1574803149606</v>
      </c>
      <c r="O256" s="81" t="n">
        <f aca="false">4*(O$232*(0.25+$C$231))+2</f>
        <v>18.5354330708661</v>
      </c>
      <c r="P256" s="81" t="n">
        <f aca="false">4*(P$232*(0.25+$C$231))+2</f>
        <v>19.9133858267717</v>
      </c>
      <c r="Q256" s="81" t="n">
        <f aca="false">4*(Q$232*(0.25+$C$231))+2</f>
        <v>21.2913385826772</v>
      </c>
      <c r="R256" s="81" t="n">
        <f aca="false">4*(R$232*(0.25+$C$231))+2</f>
        <v>22.6692913385827</v>
      </c>
      <c r="S256" s="81" t="n">
        <f aca="false">4*(S$232*(0.25+$C$231))+2</f>
        <v>24.0472440944882</v>
      </c>
      <c r="T256" s="81" t="n">
        <f aca="false">4*(T$232*(0.25+$C$231))+2</f>
        <v>25.4251968503937</v>
      </c>
      <c r="U256" s="81" t="n">
        <f aca="false">4*(U$232*(0.25+$C$231))+2</f>
        <v>26.8031496062992</v>
      </c>
      <c r="V256" s="81" t="n">
        <f aca="false">4*(V$232*(0.25+$C$231))+2</f>
        <v>28.1811023622047</v>
      </c>
      <c r="W256" s="81" t="n">
        <f aca="false">4*(W$232*(0.25+$C$231))+2</f>
        <v>29.5590551181102</v>
      </c>
      <c r="X256" s="81" t="n">
        <f aca="false">4*(X$232*(0.25+$C$231))+2</f>
        <v>30.9370078740157</v>
      </c>
      <c r="Y256" s="81" t="n">
        <f aca="false">4*(Y$232*(0.25+$C$231))+2</f>
        <v>32.3149606299213</v>
      </c>
      <c r="Z256" s="81" t="n">
        <f aca="false">4*(Z$232*(0.25+$C$231))+2</f>
        <v>33.6929133858268</v>
      </c>
      <c r="AA256" s="81" t="n">
        <f aca="false">4*(AA$232*(0.25+$C$231))+2</f>
        <v>35.0708661417323</v>
      </c>
    </row>
    <row r="257" customFormat="false" ht="15" hidden="false" customHeight="false" outlineLevel="0" collapsed="false">
      <c r="A257" s="16" t="n">
        <v>25</v>
      </c>
      <c r="B257" s="46" t="str">
        <f aca="false">'Stitch Library'!B30</f>
        <v>504 1/8" 1 Ndl Overedge</v>
      </c>
      <c r="H257" s="81" t="n">
        <f aca="false">4*(H$232*(0.125+$C$231))+5</f>
        <v>9.38976377952756</v>
      </c>
      <c r="I257" s="81" t="n">
        <f aca="false">4*(I$232*(0.125+$C$231))+5</f>
        <v>10.2677165354331</v>
      </c>
      <c r="J257" s="81" t="n">
        <f aca="false">4*(J$232*(0.125+$C$231))+5</f>
        <v>11.1456692913386</v>
      </c>
      <c r="K257" s="81" t="n">
        <f aca="false">4*(K$232*(0.125+$C$231))+5</f>
        <v>12.0236220472441</v>
      </c>
      <c r="L257" s="81" t="n">
        <f aca="false">4*(L$232*(0.125+$C$231))+5</f>
        <v>12.9015748031496</v>
      </c>
      <c r="M257" s="81" t="n">
        <f aca="false">4*(M$232*(0.125+$C$231))+5</f>
        <v>13.7795275590551</v>
      </c>
      <c r="N257" s="81" t="n">
        <f aca="false">4*(N$232*(0.125+$C$231))+5</f>
        <v>14.6574803149606</v>
      </c>
      <c r="O257" s="81" t="n">
        <f aca="false">4*(O$232*(0.125+$C$231))+5</f>
        <v>15.5354330708661</v>
      </c>
      <c r="P257" s="81" t="n">
        <f aca="false">4*(P$232*(0.125+$C$231))+5</f>
        <v>16.4133858267717</v>
      </c>
      <c r="Q257" s="81" t="n">
        <f aca="false">4*(Q$232*(0.125+$C$231))+5</f>
        <v>17.2913385826772</v>
      </c>
      <c r="R257" s="81" t="n">
        <f aca="false">4*(R$232*(0.125+$C$231))+5</f>
        <v>18.1692913385827</v>
      </c>
      <c r="S257" s="81" t="n">
        <f aca="false">4*(S$232*(0.125+$C$231))+5</f>
        <v>19.0472440944882</v>
      </c>
      <c r="T257" s="81" t="n">
        <f aca="false">4*(T$232*(0.125+$C$231))+5</f>
        <v>19.9251968503937</v>
      </c>
      <c r="U257" s="81" t="n">
        <f aca="false">4*(U$232*(0.125+$C$231))+5</f>
        <v>20.8031496062992</v>
      </c>
      <c r="V257" s="81" t="n">
        <f aca="false">4*(V$232*(0.125+$C$231))+5</f>
        <v>21.6811023622047</v>
      </c>
      <c r="W257" s="81" t="n">
        <f aca="false">4*(W$232*(0.125+$C$231))+5</f>
        <v>22.5590551181102</v>
      </c>
      <c r="X257" s="81" t="n">
        <f aca="false">4*(X$232*(0.125+$C$231))+5</f>
        <v>23.4370078740157</v>
      </c>
      <c r="Y257" s="81" t="n">
        <f aca="false">4*(Y$232*(0.125+$C$231))+5</f>
        <v>24.3149606299213</v>
      </c>
      <c r="Z257" s="81" t="n">
        <f aca="false">4*(Z$232*(0.125+$C$231))+5</f>
        <v>25.1929133858268</v>
      </c>
      <c r="AA257" s="81" t="n">
        <f aca="false">4*(AA$232*(0.125+$C$231))+5</f>
        <v>26.0708661417323</v>
      </c>
    </row>
    <row r="258" customFormat="false" ht="15" hidden="false" customHeight="false" outlineLevel="0" collapsed="false">
      <c r="A258" s="16" t="n">
        <v>26</v>
      </c>
      <c r="B258" s="46" t="str">
        <f aca="false">'Stitch Library'!B31</f>
        <v>504 3/16" 1 Ndl Overedge</v>
      </c>
      <c r="H258" s="81" t="n">
        <f aca="false">4*(H$232*(0.188+$C$231))+5</f>
        <v>10.6497637795276</v>
      </c>
      <c r="I258" s="81" t="n">
        <f aca="false">4*(I$232*(0.188+$C$231))+5</f>
        <v>11.7797165354331</v>
      </c>
      <c r="J258" s="81" t="n">
        <f aca="false">4*(J$232*(0.188+$C$231))+5</f>
        <v>12.9096692913386</v>
      </c>
      <c r="K258" s="81" t="n">
        <f aca="false">4*(K$232*(0.188+$C$231))+5</f>
        <v>14.0396220472441</v>
      </c>
      <c r="L258" s="81" t="n">
        <f aca="false">4*(L$232*(0.188+$C$231))+5</f>
        <v>15.1695748031496</v>
      </c>
      <c r="M258" s="81" t="n">
        <f aca="false">4*(M$232*(0.188+$C$231))+5</f>
        <v>16.2995275590551</v>
      </c>
      <c r="N258" s="81" t="n">
        <f aca="false">4*(N$232*(0.188+$C$231))+5</f>
        <v>17.4294803149606</v>
      </c>
      <c r="O258" s="81" t="n">
        <f aca="false">4*(O$232*(0.188+$C$231))+5</f>
        <v>18.5594330708661</v>
      </c>
      <c r="P258" s="81" t="n">
        <f aca="false">4*(P$232*(0.188+$C$231))+5</f>
        <v>19.6893858267717</v>
      </c>
      <c r="Q258" s="81" t="n">
        <f aca="false">4*(Q$232*(0.188+$C$231))+5</f>
        <v>20.8193385826772</v>
      </c>
      <c r="R258" s="81" t="n">
        <f aca="false">4*(R$232*(0.188+$C$231))+5</f>
        <v>21.9492913385827</v>
      </c>
      <c r="S258" s="81" t="n">
        <f aca="false">4*(S$232*(0.188+$C$231))+5</f>
        <v>23.0792440944882</v>
      </c>
      <c r="T258" s="81" t="n">
        <f aca="false">4*(T$232*(0.188+$C$231))+5</f>
        <v>24.2091968503937</v>
      </c>
      <c r="U258" s="81" t="n">
        <f aca="false">4*(U$232*(0.188+$C$231))+5</f>
        <v>25.3391496062992</v>
      </c>
      <c r="V258" s="81" t="n">
        <f aca="false">4*(V$232*(0.188+$C$231))+5</f>
        <v>26.4691023622047</v>
      </c>
      <c r="W258" s="81" t="n">
        <f aca="false">4*(W$232*(0.188+$C$231))+5</f>
        <v>27.5990551181102</v>
      </c>
      <c r="X258" s="81" t="n">
        <f aca="false">4*(X$232*(0.188+$C$231))+5</f>
        <v>28.7290078740158</v>
      </c>
      <c r="Y258" s="81" t="n">
        <f aca="false">4*(Y$232*(0.188+$C$231))+5</f>
        <v>29.8589606299213</v>
      </c>
      <c r="Z258" s="81" t="n">
        <f aca="false">4*(Z$232*(0.188+$C$231))+5</f>
        <v>30.9889133858268</v>
      </c>
      <c r="AA258" s="81" t="n">
        <f aca="false">4*(AA$232*(0.188+$C$231))+5</f>
        <v>32.1188661417323</v>
      </c>
    </row>
    <row r="259" customFormat="false" ht="15" hidden="false" customHeight="false" outlineLevel="0" collapsed="false">
      <c r="A259" s="16" t="n">
        <v>27</v>
      </c>
      <c r="B259" s="46" t="str">
        <f aca="false">'Stitch Library'!B32</f>
        <v>504 1/4" 1 Ndl Overedge</v>
      </c>
      <c r="H259" s="81" t="n">
        <f aca="false">4*(H$232*(0.25+$C$231))+5</f>
        <v>11.8897637795276</v>
      </c>
      <c r="I259" s="81" t="n">
        <f aca="false">4*(I$232*(0.25+$C$231))+5</f>
        <v>13.2677165354331</v>
      </c>
      <c r="J259" s="81" t="n">
        <f aca="false">4*(J$232*(0.25+$C$231))+5</f>
        <v>14.6456692913386</v>
      </c>
      <c r="K259" s="81" t="n">
        <f aca="false">4*(K$232*(0.25+$C$231))+5</f>
        <v>16.0236220472441</v>
      </c>
      <c r="L259" s="81" t="n">
        <f aca="false">4*(L$232*(0.25+$C$231))+5</f>
        <v>17.4015748031496</v>
      </c>
      <c r="M259" s="81" t="n">
        <f aca="false">4*(M$232*(0.25+$C$231))+5</f>
        <v>18.7795275590551</v>
      </c>
      <c r="N259" s="81" t="n">
        <f aca="false">4*(N$232*(0.25+$C$231))+5</f>
        <v>20.1574803149606</v>
      </c>
      <c r="O259" s="81" t="n">
        <f aca="false">4*(O$232*(0.25+$C$231))+5</f>
        <v>21.5354330708661</v>
      </c>
      <c r="P259" s="81" t="n">
        <f aca="false">4*(P$232*(0.25+$C$231))+5</f>
        <v>22.9133858267717</v>
      </c>
      <c r="Q259" s="81" t="n">
        <f aca="false">4*(Q$232*(0.25+$C$231))+5</f>
        <v>24.2913385826772</v>
      </c>
      <c r="R259" s="81" t="n">
        <f aca="false">4*(R$232*(0.25+$C$231))+5</f>
        <v>25.6692913385827</v>
      </c>
      <c r="S259" s="81" t="n">
        <f aca="false">4*(S$232*(0.25+$C$231))+5</f>
        <v>27.0472440944882</v>
      </c>
      <c r="T259" s="81" t="n">
        <f aca="false">4*(T$232*(0.25+$C$231))+5</f>
        <v>28.4251968503937</v>
      </c>
      <c r="U259" s="81" t="n">
        <f aca="false">4*(U$232*(0.25+$C$231))+5</f>
        <v>29.8031496062992</v>
      </c>
      <c r="V259" s="81" t="n">
        <f aca="false">4*(V$232*(0.25+$C$231))+5</f>
        <v>31.1811023622047</v>
      </c>
      <c r="W259" s="81" t="n">
        <f aca="false">4*(W$232*(0.25+$C$231))+5</f>
        <v>32.5590551181102</v>
      </c>
      <c r="X259" s="81" t="n">
        <f aca="false">4*(X$232*(0.25+$C$231))+5</f>
        <v>33.9370078740158</v>
      </c>
      <c r="Y259" s="81" t="n">
        <f aca="false">4*(Y$232*(0.25+$C$231))+5</f>
        <v>35.3149606299213</v>
      </c>
      <c r="Z259" s="81" t="n">
        <f aca="false">4*(Z$232*(0.25+$C$231))+5</f>
        <v>36.6929133858268</v>
      </c>
      <c r="AA259" s="81" t="n">
        <f aca="false">4*(AA$232*(0.25+$C$231))+5</f>
        <v>38.0708661417323</v>
      </c>
    </row>
    <row r="260" customFormat="false" ht="15" hidden="false" customHeight="false" outlineLevel="0" collapsed="false">
      <c r="A260" s="16" t="n">
        <v>28</v>
      </c>
      <c r="B260" s="46" t="str">
        <f aca="false">'Stitch Library'!B33</f>
        <v>512 (3/16) 2 Ndl Overedge</v>
      </c>
      <c r="H260" s="81" t="n">
        <f aca="false">5+6*(H$232*$C$231)+2.18*(0.188*H$232)</f>
        <v>9.88384566929134</v>
      </c>
      <c r="I260" s="81" t="n">
        <f aca="false">5+6*(I$232*$C$231)+2.18*(0.188*I$232)</f>
        <v>10.8606148031496</v>
      </c>
      <c r="J260" s="81" t="n">
        <f aca="false">5+6*(J$232*$C$231)+2.18*(0.188*J$232)</f>
        <v>11.8373839370079</v>
      </c>
      <c r="K260" s="81" t="n">
        <f aca="false">5+6*(K$232*$C$231)+2.18*(0.188*K$232)</f>
        <v>12.8141530708661</v>
      </c>
      <c r="L260" s="81" t="n">
        <f aca="false">5+6*(L$232*$C$231)+2.18*(0.188*L$232)</f>
        <v>13.7909222047244</v>
      </c>
      <c r="M260" s="81" t="n">
        <f aca="false">5+6*(M$232*$C$231)+2.18*(0.188*M$232)</f>
        <v>14.7676913385827</v>
      </c>
      <c r="N260" s="81" t="n">
        <f aca="false">5+6*(N$232*$C$231)+2.18*(0.188*N$232)</f>
        <v>15.7444604724409</v>
      </c>
      <c r="O260" s="81" t="n">
        <f aca="false">5+6*(O$232*$C$231)+2.18*(0.188*O$232)</f>
        <v>16.7212296062992</v>
      </c>
      <c r="P260" s="81" t="n">
        <f aca="false">5+6*(P$232*$C$231)+2.18*(0.188*P$232)</f>
        <v>17.6979987401575</v>
      </c>
      <c r="Q260" s="81" t="n">
        <f aca="false">5+6*(Q$232*$C$231)+2.18*(0.188*Q$232)</f>
        <v>18.6747678740158</v>
      </c>
      <c r="R260" s="81" t="n">
        <f aca="false">5+6*(R$232*$C$231)+2.18*(0.188*R$232)</f>
        <v>19.651537007874</v>
      </c>
      <c r="S260" s="81" t="n">
        <f aca="false">5+6*(S$232*$C$231)+2.18*(0.188*S$232)</f>
        <v>20.6283061417323</v>
      </c>
      <c r="T260" s="81" t="n">
        <f aca="false">5+6*(T$232*$C$231)+2.18*(0.188*T$232)</f>
        <v>21.6050752755906</v>
      </c>
      <c r="U260" s="81" t="n">
        <f aca="false">5+6*(U$232*$C$231)+2.18*(0.188*U$232)</f>
        <v>22.5818444094488</v>
      </c>
      <c r="V260" s="81" t="n">
        <f aca="false">5+6*(V$232*$C$231)+2.18*(0.188*V$232)</f>
        <v>23.5586135433071</v>
      </c>
      <c r="W260" s="81" t="n">
        <f aca="false">5+6*(W$232*$C$231)+2.18*(0.188*W$232)</f>
        <v>24.5353826771654</v>
      </c>
      <c r="X260" s="81" t="n">
        <f aca="false">5+6*(X$232*$C$231)+2.18*(0.188*X$232)</f>
        <v>25.5121518110236</v>
      </c>
      <c r="Y260" s="81" t="n">
        <f aca="false">5+6*(Y$232*$C$231)+2.18*(0.188*Y$232)</f>
        <v>26.4889209448819</v>
      </c>
      <c r="Z260" s="81" t="n">
        <f aca="false">5+6*(Z$232*$C$231)+2.18*(0.188*Z$232)</f>
        <v>27.4656900787402</v>
      </c>
      <c r="AA260" s="81" t="n">
        <f aca="false">5+6*(AA$232*$C$231)+2.18*(0.188*AA$232)</f>
        <v>28.4424592125984</v>
      </c>
    </row>
    <row r="261" customFormat="false" ht="15" hidden="false" customHeight="false" outlineLevel="0" collapsed="false">
      <c r="A261" s="16" t="n">
        <v>29</v>
      </c>
      <c r="B261" s="46" t="str">
        <f aca="false">'Stitch Library'!B34</f>
        <v>512 (1/4) 2 Ndl Overedge</v>
      </c>
      <c r="H261" s="81" t="n">
        <f aca="false">5+6*(H$232*$C$231)+2.18*(0.25*H$232)</f>
        <v>10.5596456692913</v>
      </c>
      <c r="I261" s="81" t="n">
        <f aca="false">5+6*(I$232*$C$231)+2.18*(0.25*I$232)</f>
        <v>11.6715748031496</v>
      </c>
      <c r="J261" s="81" t="n">
        <f aca="false">5+6*(J$232*$C$231)+2.18*(0.25*J$232)</f>
        <v>12.7835039370079</v>
      </c>
      <c r="K261" s="81" t="n">
        <f aca="false">5+6*(K$232*$C$231)+2.18*(0.25*K$232)</f>
        <v>13.8954330708661</v>
      </c>
      <c r="L261" s="81" t="n">
        <f aca="false">5+6*(L$232*$C$231)+2.18*(0.25*L$232)</f>
        <v>15.0073622047244</v>
      </c>
      <c r="M261" s="81" t="n">
        <f aca="false">5+6*(M$232*$C$231)+2.18*(0.25*M$232)</f>
        <v>16.1192913385827</v>
      </c>
      <c r="N261" s="81" t="n">
        <f aca="false">5+6*(N$232*$C$231)+2.18*(0.25*N$232)</f>
        <v>17.2312204724409</v>
      </c>
      <c r="O261" s="81" t="n">
        <f aca="false">5+6*(O$232*$C$231)+2.18*(0.25*O$232)</f>
        <v>18.3431496062992</v>
      </c>
      <c r="P261" s="81" t="n">
        <f aca="false">5+6*(P$232*$C$231)+2.18*(0.25*P$232)</f>
        <v>19.4550787401575</v>
      </c>
      <c r="Q261" s="81" t="n">
        <f aca="false">5+6*(Q$232*$C$231)+2.18*(0.25*Q$232)</f>
        <v>20.5670078740158</v>
      </c>
      <c r="R261" s="81" t="n">
        <f aca="false">5+6*(R$232*$C$231)+2.18*(0.25*R$232)</f>
        <v>21.678937007874</v>
      </c>
      <c r="S261" s="81" t="n">
        <f aca="false">5+6*(S$232*$C$231)+2.18*(0.25*S$232)</f>
        <v>22.7908661417323</v>
      </c>
      <c r="T261" s="81" t="n">
        <f aca="false">5+6*(T$232*$C$231)+2.18*(0.25*T$232)</f>
        <v>23.9027952755906</v>
      </c>
      <c r="U261" s="81" t="n">
        <f aca="false">5+6*(U$232*$C$231)+2.18*(0.25*U$232)</f>
        <v>25.0147244094488</v>
      </c>
      <c r="V261" s="81" t="n">
        <f aca="false">5+6*(V$232*$C$231)+2.18*(0.25*V$232)</f>
        <v>26.1266535433071</v>
      </c>
      <c r="W261" s="81" t="n">
        <f aca="false">5+6*(W$232*$C$231)+2.18*(0.25*W$232)</f>
        <v>27.2385826771654</v>
      </c>
      <c r="X261" s="81" t="n">
        <f aca="false">5+6*(X$232*$C$231)+2.18*(0.25*X$232)</f>
        <v>28.3505118110236</v>
      </c>
      <c r="Y261" s="81" t="n">
        <f aca="false">5+6*(Y$232*$C$231)+2.18*(0.25*Y$232)</f>
        <v>29.4624409448819</v>
      </c>
      <c r="Z261" s="81" t="n">
        <f aca="false">5+6*(Z$232*$C$231)+2.18*(0.25*Z$232)</f>
        <v>30.5743700787402</v>
      </c>
      <c r="AA261" s="81" t="n">
        <f aca="false">5+6*(AA$232*$C$231)+2.18*(0.25*AA$232)</f>
        <v>31.6862992125984</v>
      </c>
    </row>
    <row r="262" customFormat="false" ht="15" hidden="false" customHeight="false" outlineLevel="0" collapsed="false">
      <c r="A262" s="16" t="n">
        <v>30</v>
      </c>
      <c r="B262" s="46" t="str">
        <f aca="false">'Stitch Library'!B35</f>
        <v>512 (5/16) 2 Ndl Overedge</v>
      </c>
      <c r="H262" s="81" t="n">
        <f aca="false">5+6*(H$232*$C$231)+2.18*(0.313*H$232)</f>
        <v>11.2463456692913</v>
      </c>
      <c r="I262" s="81" t="n">
        <f aca="false">5+6*(I$232*$C$231)+2.18*(0.313*I$232)</f>
        <v>12.4956148031496</v>
      </c>
      <c r="J262" s="81" t="n">
        <f aca="false">5+6*(J$232*$C$231)+2.18*(0.313*J$232)</f>
        <v>13.7448839370079</v>
      </c>
      <c r="K262" s="81" t="n">
        <f aca="false">5+6*(K$232*$C$231)+2.18*(0.313*K$232)</f>
        <v>14.9941530708661</v>
      </c>
      <c r="L262" s="81" t="n">
        <f aca="false">5+6*(L$232*$C$231)+2.18*(0.313*L$232)</f>
        <v>16.2434222047244</v>
      </c>
      <c r="M262" s="81" t="n">
        <f aca="false">5+6*(M$232*$C$231)+2.18*(0.313*M$232)</f>
        <v>17.4926913385827</v>
      </c>
      <c r="N262" s="81" t="n">
        <f aca="false">5+6*(N$232*$C$231)+2.18*(0.313*N$232)</f>
        <v>18.7419604724409</v>
      </c>
      <c r="O262" s="81" t="n">
        <f aca="false">5+6*(O$232*$C$231)+2.18*(0.313*O$232)</f>
        <v>19.9912296062992</v>
      </c>
      <c r="P262" s="81" t="n">
        <f aca="false">5+6*(P$232*$C$231)+2.18*(0.313*P$232)</f>
        <v>21.2404987401575</v>
      </c>
      <c r="Q262" s="81" t="n">
        <f aca="false">5+6*(Q$232*$C$231)+2.18*(0.313*Q$232)</f>
        <v>22.4897678740157</v>
      </c>
      <c r="R262" s="81" t="n">
        <f aca="false">5+6*(R$232*$C$231)+2.18*(0.313*R$232)</f>
        <v>23.739037007874</v>
      </c>
      <c r="S262" s="81" t="n">
        <f aca="false">5+6*(S$232*$C$231)+2.18*(0.313*S$232)</f>
        <v>24.9883061417323</v>
      </c>
      <c r="T262" s="81" t="n">
        <f aca="false">5+6*(T$232*$C$231)+2.18*(0.313*T$232)</f>
        <v>26.2375752755906</v>
      </c>
      <c r="U262" s="81" t="n">
        <f aca="false">5+6*(U$232*$C$231)+2.18*(0.313*U$232)</f>
        <v>27.4868444094488</v>
      </c>
      <c r="V262" s="81" t="n">
        <f aca="false">5+6*(V$232*$C$231)+2.18*(0.313*V$232)</f>
        <v>28.7361135433071</v>
      </c>
      <c r="W262" s="81" t="n">
        <f aca="false">5+6*(W$232*$C$231)+2.18*(0.313*W$232)</f>
        <v>29.9853826771654</v>
      </c>
      <c r="X262" s="81" t="n">
        <f aca="false">5+6*(X$232*$C$231)+2.18*(0.313*X$232)</f>
        <v>31.2346518110236</v>
      </c>
      <c r="Y262" s="81" t="n">
        <f aca="false">5+6*(Y$232*$C$231)+2.18*(0.313*Y$232)</f>
        <v>32.4839209448819</v>
      </c>
      <c r="Z262" s="81" t="n">
        <f aca="false">5+6*(Z$232*$C$231)+2.18*(0.313*Z$232)</f>
        <v>33.7331900787402</v>
      </c>
      <c r="AA262" s="81" t="n">
        <f aca="false">5+6*(AA$232*$C$231)+2.18*(0.313*AA$232)</f>
        <v>34.9824592125984</v>
      </c>
    </row>
    <row r="263" customFormat="false" ht="15" hidden="false" customHeight="false" outlineLevel="0" collapsed="false">
      <c r="A263" s="16" t="n">
        <v>31</v>
      </c>
      <c r="B263" s="46" t="str">
        <f aca="false">'Stitch Library'!B36</f>
        <v>514 (3/16") 2 Ndl Overedge</v>
      </c>
      <c r="H263" s="81" t="n">
        <f aca="false">5+6*(H$232*$C$231)+4*(0.188*H$232)</f>
        <v>11.5946456692913</v>
      </c>
      <c r="I263" s="81" t="n">
        <f aca="false">5+6*(I$232*$C$231)+4*(0.188*I$232)</f>
        <v>12.9135748031496</v>
      </c>
      <c r="J263" s="81" t="n">
        <f aca="false">5+6*(J$232*$C$231)+4*(0.188*J$232)</f>
        <v>14.2325039370079</v>
      </c>
      <c r="K263" s="81" t="n">
        <f aca="false">5+6*(K$232*$C$231)+4*(0.188*K$232)</f>
        <v>15.5514330708661</v>
      </c>
      <c r="L263" s="81" t="n">
        <f aca="false">5+6*(L$232*$C$231)+4*(0.188*L$232)</f>
        <v>16.8703622047244</v>
      </c>
      <c r="M263" s="81" t="n">
        <f aca="false">5+6*(M$232*$C$231)+4*(0.188*M$232)</f>
        <v>18.1892913385827</v>
      </c>
      <c r="N263" s="81" t="n">
        <f aca="false">5+6*(N$232*$C$231)+4*(0.188*N$232)</f>
        <v>19.5082204724409</v>
      </c>
      <c r="O263" s="81" t="n">
        <f aca="false">5+6*(O$232*$C$231)+4*(0.188*O$232)</f>
        <v>20.8271496062992</v>
      </c>
      <c r="P263" s="81" t="n">
        <f aca="false">5+6*(P$232*$C$231)+4*(0.188*P$232)</f>
        <v>22.1460787401575</v>
      </c>
      <c r="Q263" s="81" t="n">
        <f aca="false">5+6*(Q$232*$C$231)+4*(0.188*Q$232)</f>
        <v>23.4650078740157</v>
      </c>
      <c r="R263" s="81" t="n">
        <f aca="false">5+6*(R$232*$C$231)+4*(0.188*R$232)</f>
        <v>24.783937007874</v>
      </c>
      <c r="S263" s="81" t="n">
        <f aca="false">5+6*(S$232*$C$231)+4*(0.188*S$232)</f>
        <v>26.1028661417323</v>
      </c>
      <c r="T263" s="81" t="n">
        <f aca="false">5+6*(T$232*$C$231)+4*(0.188*T$232)</f>
        <v>27.4217952755906</v>
      </c>
      <c r="U263" s="81" t="n">
        <f aca="false">5+6*(U$232*$C$231)+4*(0.188*U$232)</f>
        <v>28.7407244094488</v>
      </c>
      <c r="V263" s="81" t="n">
        <f aca="false">5+6*(V$232*$C$231)+4*(0.188*V$232)</f>
        <v>30.0596535433071</v>
      </c>
      <c r="W263" s="81" t="n">
        <f aca="false">5+6*(W$232*$C$231)+4*(0.188*W$232)</f>
        <v>31.3785826771654</v>
      </c>
      <c r="X263" s="81" t="n">
        <f aca="false">5+6*(X$232*$C$231)+4*(0.188*X$232)</f>
        <v>32.6975118110236</v>
      </c>
      <c r="Y263" s="81" t="n">
        <f aca="false">5+6*(Y$232*$C$231)+4*(0.188*Y$232)</f>
        <v>34.0164409448819</v>
      </c>
      <c r="Z263" s="81" t="n">
        <f aca="false">5+6*(Z$232*$C$231)+4*(0.188*Z$232)</f>
        <v>35.3353700787402</v>
      </c>
      <c r="AA263" s="81" t="n">
        <f aca="false">5+6*(AA$232*$C$231)+4*(0.188*AA$232)</f>
        <v>36.6542992125984</v>
      </c>
    </row>
    <row r="264" customFormat="false" ht="15" hidden="false" customHeight="false" outlineLevel="0" collapsed="false">
      <c r="A264" s="16" t="n">
        <v>32</v>
      </c>
      <c r="B264" s="46" t="str">
        <f aca="false">'Stitch Library'!B37</f>
        <v>514 (1/4") 2 Ndl Overedge</v>
      </c>
      <c r="H264" s="81" t="n">
        <f aca="false">5+6*(H$232*$C$231)+4*(0.25*H$232)</f>
        <v>12.8346456692913</v>
      </c>
      <c r="I264" s="81" t="n">
        <f aca="false">5+6*(I$232*$C$231)+4*(0.25*I$232)</f>
        <v>14.4015748031496</v>
      </c>
      <c r="J264" s="81" t="n">
        <f aca="false">5+6*(J$232*$C$231)+4*(0.25*J$232)</f>
        <v>15.9685039370079</v>
      </c>
      <c r="K264" s="81" t="n">
        <f aca="false">5+6*(K$232*$C$231)+4*(0.25*K$232)</f>
        <v>17.5354330708661</v>
      </c>
      <c r="L264" s="81" t="n">
        <f aca="false">5+6*(L$232*$C$231)+4*(0.25*L$232)</f>
        <v>19.1023622047244</v>
      </c>
      <c r="M264" s="81" t="n">
        <f aca="false">5+6*(M$232*$C$231)+4*(0.25*M$232)</f>
        <v>20.6692913385827</v>
      </c>
      <c r="N264" s="81" t="n">
        <f aca="false">5+6*(N$232*$C$231)+4*(0.25*N$232)</f>
        <v>22.2362204724409</v>
      </c>
      <c r="O264" s="81" t="n">
        <f aca="false">5+6*(O$232*$C$231)+4*(0.25*O$232)</f>
        <v>23.8031496062992</v>
      </c>
      <c r="P264" s="81" t="n">
        <f aca="false">5+6*(P$232*$C$231)+4*(0.25*P$232)</f>
        <v>25.3700787401575</v>
      </c>
      <c r="Q264" s="81" t="n">
        <f aca="false">5+6*(Q$232*$C$231)+4*(0.25*Q$232)</f>
        <v>26.9370078740157</v>
      </c>
      <c r="R264" s="81" t="n">
        <f aca="false">5+6*(R$232*$C$231)+4*(0.25*R$232)</f>
        <v>28.503937007874</v>
      </c>
      <c r="S264" s="81" t="n">
        <f aca="false">5+6*(S$232*$C$231)+4*(0.25*S$232)</f>
        <v>30.0708661417323</v>
      </c>
      <c r="T264" s="81" t="n">
        <f aca="false">5+6*(T$232*$C$231)+4*(0.25*T$232)</f>
        <v>31.6377952755906</v>
      </c>
      <c r="U264" s="81" t="n">
        <f aca="false">5+6*(U$232*$C$231)+4*(0.25*U$232)</f>
        <v>33.2047244094488</v>
      </c>
      <c r="V264" s="81" t="n">
        <f aca="false">5+6*(V$232*$C$231)+4*(0.25*V$232)</f>
        <v>34.7716535433071</v>
      </c>
      <c r="W264" s="81" t="n">
        <f aca="false">5+6*(W$232*$C$231)+4*(0.25*W$232)</f>
        <v>36.3385826771654</v>
      </c>
      <c r="X264" s="81" t="n">
        <f aca="false">5+6*(X$232*$C$231)+4*(0.25*X$232)</f>
        <v>37.9055118110236</v>
      </c>
      <c r="Y264" s="81" t="n">
        <f aca="false">5+6*(Y$232*$C$231)+4*(0.25*Y$232)</f>
        <v>39.4724409448819</v>
      </c>
      <c r="Z264" s="81" t="n">
        <f aca="false">5+6*(Z$232*$C$231)+4*(0.25*Z$232)</f>
        <v>41.0393700787402</v>
      </c>
      <c r="AA264" s="81" t="n">
        <f aca="false">5+6*(AA$232*$C$231)+4*(0.25*AA$232)</f>
        <v>42.6062992125984</v>
      </c>
    </row>
    <row r="265" customFormat="false" ht="15" hidden="false" customHeight="false" outlineLevel="0" collapsed="false">
      <c r="A265" s="16" t="n">
        <v>33</v>
      </c>
      <c r="B265" s="46" t="str">
        <f aca="false">'Stitch Library'!B38</f>
        <v>514 (5/16") 2 Ndl Overedge</v>
      </c>
      <c r="H265" s="81" t="n">
        <f aca="false">5+6*(H$232*$C$231)+4*(0.313*H$232)</f>
        <v>14.0946456692913</v>
      </c>
      <c r="I265" s="81" t="n">
        <f aca="false">5+6*(I$232*$C$231)+4*(0.313*I$232)</f>
        <v>15.9135748031496</v>
      </c>
      <c r="J265" s="81" t="n">
        <f aca="false">5+6*(J$232*$C$231)+4*(0.313*J$232)</f>
        <v>17.7325039370079</v>
      </c>
      <c r="K265" s="81" t="n">
        <f aca="false">5+6*(K$232*$C$231)+4*(0.313*K$232)</f>
        <v>19.5514330708661</v>
      </c>
      <c r="L265" s="81" t="n">
        <f aca="false">5+6*(L$232*$C$231)+4*(0.313*L$232)</f>
        <v>21.3703622047244</v>
      </c>
      <c r="M265" s="81" t="n">
        <f aca="false">5+6*(M$232*$C$231)+4*(0.313*M$232)</f>
        <v>23.1892913385827</v>
      </c>
      <c r="N265" s="81" t="n">
        <f aca="false">5+6*(N$232*$C$231)+4*(0.313*N$232)</f>
        <v>25.0082204724409</v>
      </c>
      <c r="O265" s="81" t="n">
        <f aca="false">5+6*(O$232*$C$231)+4*(0.313*O$232)</f>
        <v>26.8271496062992</v>
      </c>
      <c r="P265" s="81" t="n">
        <f aca="false">5+6*(P$232*$C$231)+4*(0.313*P$232)</f>
        <v>28.6460787401575</v>
      </c>
      <c r="Q265" s="81" t="n">
        <f aca="false">5+6*(Q$232*$C$231)+4*(0.313*Q$232)</f>
        <v>30.4650078740157</v>
      </c>
      <c r="R265" s="81" t="n">
        <f aca="false">5+6*(R$232*$C$231)+4*(0.313*R$232)</f>
        <v>32.283937007874</v>
      </c>
      <c r="S265" s="81" t="n">
        <f aca="false">5+6*(S$232*$C$231)+4*(0.313*S$232)</f>
        <v>34.1028661417323</v>
      </c>
      <c r="T265" s="81" t="n">
        <f aca="false">5+6*(T$232*$C$231)+4*(0.313*T$232)</f>
        <v>35.9217952755906</v>
      </c>
      <c r="U265" s="81" t="n">
        <f aca="false">5+6*(U$232*$C$231)+4*(0.313*U$232)</f>
        <v>37.7407244094488</v>
      </c>
      <c r="V265" s="81" t="n">
        <f aca="false">5+6*(V$232*$C$231)+4*(0.313*V$232)</f>
        <v>39.5596535433071</v>
      </c>
      <c r="W265" s="81" t="n">
        <f aca="false">5+6*(W$232*$C$231)+4*(0.313*W$232)</f>
        <v>41.3785826771654</v>
      </c>
      <c r="X265" s="81" t="n">
        <f aca="false">5+6*(X$232*$C$231)+4*(0.313*X$232)</f>
        <v>43.1975118110236</v>
      </c>
      <c r="Y265" s="81" t="n">
        <f aca="false">5+6*(Y$232*$C$231)+4*(0.313*Y$232)</f>
        <v>45.0164409448819</v>
      </c>
      <c r="Z265" s="81" t="n">
        <f aca="false">5+6*(Z$232*$C$231)+4*(0.313*Z$232)</f>
        <v>46.8353700787402</v>
      </c>
      <c r="AA265" s="81" t="n">
        <f aca="false">5+6*(AA$232*$C$231)+4*(0.313*AA$232)</f>
        <v>48.6542992125984</v>
      </c>
    </row>
    <row r="266" customFormat="false" ht="15" hidden="false" customHeight="false" outlineLevel="0" collapsed="false">
      <c r="A266" s="16" t="n">
        <v>34</v>
      </c>
      <c r="B266" s="46" t="str">
        <f aca="false">'Stitch Library'!B39</f>
        <v>515/401 Safetystitch Chain</v>
      </c>
      <c r="H266" s="81" t="n">
        <f aca="false">H246</f>
        <v>4.94488188976378</v>
      </c>
      <c r="I266" s="81" t="n">
        <f aca="false">I246</f>
        <v>5.13385826771654</v>
      </c>
      <c r="J266" s="81" t="n">
        <f aca="false">J246</f>
        <v>5.32283464566929</v>
      </c>
      <c r="K266" s="81" t="n">
        <f aca="false">K246</f>
        <v>5.51181102362205</v>
      </c>
      <c r="L266" s="81" t="n">
        <f aca="false">L246</f>
        <v>5.7007874015748</v>
      </c>
      <c r="M266" s="81" t="n">
        <f aca="false">M246</f>
        <v>5.88976377952756</v>
      </c>
      <c r="N266" s="81" t="n">
        <f aca="false">N246</f>
        <v>6.07874015748032</v>
      </c>
      <c r="O266" s="81" t="n">
        <f aca="false">O246</f>
        <v>6.26771653543307</v>
      </c>
      <c r="P266" s="81" t="n">
        <f aca="false">P246</f>
        <v>6.45669291338583</v>
      </c>
      <c r="Q266" s="81" t="n">
        <f aca="false">Q246</f>
        <v>6.64566929133858</v>
      </c>
      <c r="R266" s="81" t="n">
        <f aca="false">R246</f>
        <v>6.83464566929134</v>
      </c>
      <c r="S266" s="81" t="n">
        <f aca="false">S246</f>
        <v>7.02362204724409</v>
      </c>
      <c r="T266" s="81" t="n">
        <f aca="false">T246</f>
        <v>7.21259842519685</v>
      </c>
      <c r="U266" s="81" t="n">
        <f aca="false">U246</f>
        <v>7.40157480314961</v>
      </c>
      <c r="V266" s="81" t="n">
        <f aca="false">V246</f>
        <v>7.59055118110236</v>
      </c>
      <c r="W266" s="81" t="n">
        <f aca="false">W246</f>
        <v>7.77952755905512</v>
      </c>
      <c r="X266" s="81" t="n">
        <f aca="false">X246</f>
        <v>7.96850393700787</v>
      </c>
      <c r="Y266" s="81" t="n">
        <f aca="false">Y246</f>
        <v>8.15748031496063</v>
      </c>
      <c r="Z266" s="81" t="n">
        <f aca="false">Z246</f>
        <v>8.34645669291339</v>
      </c>
      <c r="AA266" s="81" t="n">
        <f aca="false">AA246</f>
        <v>8.53543307086614</v>
      </c>
    </row>
    <row r="267" customFormat="false" ht="15" hidden="false" customHeight="false" outlineLevel="0" collapsed="false">
      <c r="A267" s="16" t="n">
        <v>35</v>
      </c>
      <c r="B267" s="46" t="str">
        <f aca="false">'Stitch Library'!B40</f>
        <v>515/503 SafetyS Overedge</v>
      </c>
      <c r="H267" s="81" t="n">
        <f aca="false">H255</f>
        <v>7.64976377952756</v>
      </c>
      <c r="I267" s="81" t="n">
        <f aca="false">I255</f>
        <v>8.77971653543307</v>
      </c>
      <c r="J267" s="81" t="n">
        <f aca="false">J255</f>
        <v>9.90966929133858</v>
      </c>
      <c r="K267" s="81" t="n">
        <f aca="false">K255</f>
        <v>11.0396220472441</v>
      </c>
      <c r="L267" s="81" t="n">
        <f aca="false">L255</f>
        <v>12.1695748031496</v>
      </c>
      <c r="M267" s="81" t="n">
        <f aca="false">M255</f>
        <v>13.2995275590551</v>
      </c>
      <c r="N267" s="81" t="n">
        <f aca="false">N255</f>
        <v>14.4294803149606</v>
      </c>
      <c r="O267" s="81" t="n">
        <f aca="false">O255</f>
        <v>15.5594330708661</v>
      </c>
      <c r="P267" s="81" t="n">
        <f aca="false">P255</f>
        <v>16.6893858267717</v>
      </c>
      <c r="Q267" s="81" t="n">
        <f aca="false">Q255</f>
        <v>17.8193385826772</v>
      </c>
      <c r="R267" s="81" t="n">
        <f aca="false">R255</f>
        <v>18.9492913385827</v>
      </c>
      <c r="S267" s="81" t="n">
        <f aca="false">S255</f>
        <v>20.0792440944882</v>
      </c>
      <c r="T267" s="81" t="n">
        <f aca="false">T255</f>
        <v>21.2091968503937</v>
      </c>
      <c r="U267" s="81" t="n">
        <f aca="false">U255</f>
        <v>22.3391496062992</v>
      </c>
      <c r="V267" s="81" t="n">
        <f aca="false">V255</f>
        <v>23.4691023622047</v>
      </c>
      <c r="W267" s="81" t="n">
        <f aca="false">W255</f>
        <v>24.5990551181102</v>
      </c>
      <c r="X267" s="81" t="n">
        <f aca="false">X255</f>
        <v>25.7290078740158</v>
      </c>
      <c r="Y267" s="81" t="n">
        <f aca="false">Y255</f>
        <v>26.8589606299213</v>
      </c>
      <c r="Z267" s="81" t="n">
        <f aca="false">Z255</f>
        <v>27.9889133858268</v>
      </c>
      <c r="AA267" s="81" t="n">
        <f aca="false">AA255</f>
        <v>29.1188661417323</v>
      </c>
    </row>
    <row r="268" customFormat="false" ht="15" hidden="false" customHeight="false" outlineLevel="0" collapsed="false">
      <c r="A268" s="16" t="n">
        <v>36</v>
      </c>
      <c r="B268" s="46" t="str">
        <f aca="false">'Stitch Library'!B41</f>
        <v>515 /Both Safetystitch</v>
      </c>
      <c r="H268" s="81" t="n">
        <f aca="false">H246+H255</f>
        <v>12.5946456692913</v>
      </c>
      <c r="I268" s="81" t="n">
        <f aca="false">I246+I255</f>
        <v>13.9135748031496</v>
      </c>
      <c r="J268" s="81" t="n">
        <f aca="false">J246+J255</f>
        <v>15.2325039370079</v>
      </c>
      <c r="K268" s="81" t="n">
        <f aca="false">K246+K255</f>
        <v>16.5514330708661</v>
      </c>
      <c r="L268" s="81" t="n">
        <f aca="false">L246+L255</f>
        <v>17.8703622047244</v>
      </c>
      <c r="M268" s="81" t="n">
        <f aca="false">M246+M255</f>
        <v>19.1892913385827</v>
      </c>
      <c r="N268" s="81" t="n">
        <f aca="false">N246+N255</f>
        <v>20.5082204724409</v>
      </c>
      <c r="O268" s="81" t="n">
        <f aca="false">O246+O255</f>
        <v>21.8271496062992</v>
      </c>
      <c r="P268" s="81" t="n">
        <f aca="false">P246+P255</f>
        <v>23.1460787401575</v>
      </c>
      <c r="Q268" s="81" t="n">
        <f aca="false">Q246+Q255</f>
        <v>24.4650078740157</v>
      </c>
      <c r="R268" s="81" t="n">
        <f aca="false">R246+R255</f>
        <v>25.783937007874</v>
      </c>
      <c r="S268" s="81" t="n">
        <f aca="false">S246+S255</f>
        <v>27.1028661417323</v>
      </c>
      <c r="T268" s="81" t="n">
        <f aca="false">T246+T255</f>
        <v>28.4217952755906</v>
      </c>
      <c r="U268" s="81" t="n">
        <f aca="false">U246+U255</f>
        <v>29.7407244094488</v>
      </c>
      <c r="V268" s="81" t="n">
        <f aca="false">V246+V255</f>
        <v>31.0596535433071</v>
      </c>
      <c r="W268" s="81" t="n">
        <f aca="false">W246+W255</f>
        <v>32.3785826771654</v>
      </c>
      <c r="X268" s="81" t="n">
        <f aca="false">X246+X255</f>
        <v>33.6975118110236</v>
      </c>
      <c r="Y268" s="81" t="n">
        <f aca="false">Y246+Y255</f>
        <v>35.0164409448819</v>
      </c>
      <c r="Z268" s="81" t="n">
        <f aca="false">Z246+Z255</f>
        <v>36.3353700787402</v>
      </c>
      <c r="AA268" s="81" t="n">
        <f aca="false">AA246+AA255</f>
        <v>37.6542992125984</v>
      </c>
    </row>
    <row r="269" customFormat="false" ht="15" hidden="false" customHeight="false" outlineLevel="0" collapsed="false">
      <c r="A269" s="16" t="n">
        <v>37</v>
      </c>
      <c r="B269" s="46" t="str">
        <f aca="false">'Stitch Library'!B42</f>
        <v>516 / 401 SafetyS Chain</v>
      </c>
      <c r="H269" s="81" t="n">
        <f aca="false">H246</f>
        <v>4.94488188976378</v>
      </c>
      <c r="I269" s="81" t="n">
        <f aca="false">I246</f>
        <v>5.13385826771654</v>
      </c>
      <c r="J269" s="81" t="n">
        <f aca="false">J246</f>
        <v>5.32283464566929</v>
      </c>
      <c r="K269" s="81" t="n">
        <f aca="false">K246</f>
        <v>5.51181102362205</v>
      </c>
      <c r="L269" s="81" t="n">
        <f aca="false">L246</f>
        <v>5.7007874015748</v>
      </c>
      <c r="M269" s="81" t="n">
        <f aca="false">M246</f>
        <v>5.88976377952756</v>
      </c>
      <c r="N269" s="81" t="n">
        <f aca="false">N246</f>
        <v>6.07874015748032</v>
      </c>
      <c r="O269" s="81" t="n">
        <f aca="false">O246</f>
        <v>6.26771653543307</v>
      </c>
      <c r="P269" s="81" t="n">
        <f aca="false">P246</f>
        <v>6.45669291338583</v>
      </c>
      <c r="Q269" s="81" t="n">
        <f aca="false">Q246</f>
        <v>6.64566929133858</v>
      </c>
      <c r="R269" s="81" t="n">
        <f aca="false">R246</f>
        <v>6.83464566929134</v>
      </c>
      <c r="S269" s="81" t="n">
        <f aca="false">S246</f>
        <v>7.02362204724409</v>
      </c>
      <c r="T269" s="81" t="n">
        <f aca="false">T246</f>
        <v>7.21259842519685</v>
      </c>
      <c r="U269" s="81" t="n">
        <f aca="false">U246</f>
        <v>7.40157480314961</v>
      </c>
      <c r="V269" s="81" t="n">
        <f aca="false">V246</f>
        <v>7.59055118110236</v>
      </c>
      <c r="W269" s="81" t="n">
        <f aca="false">W246</f>
        <v>7.77952755905512</v>
      </c>
      <c r="X269" s="81" t="n">
        <f aca="false">X246</f>
        <v>7.96850393700787</v>
      </c>
      <c r="Y269" s="81" t="n">
        <f aca="false">Y246</f>
        <v>8.15748031496063</v>
      </c>
      <c r="Z269" s="81" t="n">
        <f aca="false">Z246</f>
        <v>8.34645669291339</v>
      </c>
      <c r="AA269" s="81" t="n">
        <f aca="false">AA246</f>
        <v>8.53543307086614</v>
      </c>
    </row>
    <row r="270" customFormat="false" ht="15" hidden="false" customHeight="false" outlineLevel="0" collapsed="false">
      <c r="A270" s="16" t="n">
        <v>38</v>
      </c>
      <c r="B270" s="46" t="str">
        <f aca="false">'Stitch Library'!B43</f>
        <v>516 / 504 SafetyS Overedge</v>
      </c>
      <c r="H270" s="81" t="n">
        <f aca="false">H258</f>
        <v>10.6497637795276</v>
      </c>
      <c r="I270" s="81" t="n">
        <f aca="false">I258</f>
        <v>11.7797165354331</v>
      </c>
      <c r="J270" s="81" t="n">
        <f aca="false">J258</f>
        <v>12.9096692913386</v>
      </c>
      <c r="K270" s="81" t="n">
        <f aca="false">K258</f>
        <v>14.0396220472441</v>
      </c>
      <c r="L270" s="81" t="n">
        <f aca="false">L258</f>
        <v>15.1695748031496</v>
      </c>
      <c r="M270" s="81" t="n">
        <f aca="false">M258</f>
        <v>16.2995275590551</v>
      </c>
      <c r="N270" s="81" t="n">
        <f aca="false">N258</f>
        <v>17.4294803149606</v>
      </c>
      <c r="O270" s="81" t="n">
        <f aca="false">O258</f>
        <v>18.5594330708661</v>
      </c>
      <c r="P270" s="81" t="n">
        <f aca="false">P258</f>
        <v>19.6893858267717</v>
      </c>
      <c r="Q270" s="81" t="n">
        <f aca="false">Q258</f>
        <v>20.8193385826772</v>
      </c>
      <c r="R270" s="81" t="n">
        <f aca="false">R258</f>
        <v>21.9492913385827</v>
      </c>
      <c r="S270" s="81" t="n">
        <f aca="false">S258</f>
        <v>23.0792440944882</v>
      </c>
      <c r="T270" s="81" t="n">
        <f aca="false">T258</f>
        <v>24.2091968503937</v>
      </c>
      <c r="U270" s="81" t="n">
        <f aca="false">U258</f>
        <v>25.3391496062992</v>
      </c>
      <c r="V270" s="81" t="n">
        <f aca="false">V258</f>
        <v>26.4691023622047</v>
      </c>
      <c r="W270" s="81" t="n">
        <f aca="false">W258</f>
        <v>27.5990551181102</v>
      </c>
      <c r="X270" s="81" t="n">
        <f aca="false">X258</f>
        <v>28.7290078740158</v>
      </c>
      <c r="Y270" s="81" t="n">
        <f aca="false">Y258</f>
        <v>29.8589606299213</v>
      </c>
      <c r="Z270" s="81" t="n">
        <f aca="false">Z258</f>
        <v>30.9889133858268</v>
      </c>
      <c r="AA270" s="81" t="n">
        <f aca="false">AA258</f>
        <v>32.1188661417323</v>
      </c>
    </row>
    <row r="271" customFormat="false" ht="15" hidden="false" customHeight="false" outlineLevel="0" collapsed="false">
      <c r="A271" s="16" t="n">
        <v>39</v>
      </c>
      <c r="B271" s="46" t="str">
        <f aca="false">'Stitch Library'!B44</f>
        <v>516 /Both Safetystitch</v>
      </c>
      <c r="H271" s="81" t="n">
        <f aca="false">H269+H270</f>
        <v>15.5946456692913</v>
      </c>
      <c r="I271" s="81" t="n">
        <f aca="false">I269+I270</f>
        <v>16.9135748031496</v>
      </c>
      <c r="J271" s="81" t="n">
        <f aca="false">J269+J270</f>
        <v>18.2325039370079</v>
      </c>
      <c r="K271" s="81" t="n">
        <f aca="false">K269+K270</f>
        <v>19.5514330708661</v>
      </c>
      <c r="L271" s="81" t="n">
        <f aca="false">L269+L270</f>
        <v>20.8703622047244</v>
      </c>
      <c r="M271" s="81" t="n">
        <f aca="false">M269+M270</f>
        <v>22.1892913385827</v>
      </c>
      <c r="N271" s="81" t="n">
        <f aca="false">N269+N270</f>
        <v>23.5082204724409</v>
      </c>
      <c r="O271" s="81" t="n">
        <f aca="false">O269+O270</f>
        <v>24.8271496062992</v>
      </c>
      <c r="P271" s="81" t="n">
        <f aca="false">P269+P270</f>
        <v>26.1460787401575</v>
      </c>
      <c r="Q271" s="81" t="n">
        <f aca="false">Q269+Q270</f>
        <v>27.4650078740157</v>
      </c>
      <c r="R271" s="81" t="n">
        <f aca="false">R269+R270</f>
        <v>28.783937007874</v>
      </c>
      <c r="S271" s="81" t="n">
        <f aca="false">S269+S270</f>
        <v>30.1028661417323</v>
      </c>
      <c r="T271" s="81" t="n">
        <f aca="false">T269+T270</f>
        <v>31.4217952755906</v>
      </c>
      <c r="U271" s="81" t="n">
        <f aca="false">U269+U270</f>
        <v>32.7407244094488</v>
      </c>
      <c r="V271" s="81" t="n">
        <f aca="false">V269+V270</f>
        <v>34.0596535433071</v>
      </c>
      <c r="W271" s="81" t="n">
        <f aca="false">W269+W270</f>
        <v>35.3785826771654</v>
      </c>
      <c r="X271" s="81" t="n">
        <f aca="false">X269+X270</f>
        <v>36.6975118110236</v>
      </c>
      <c r="Y271" s="81" t="n">
        <f aca="false">Y269+Y270</f>
        <v>38.0164409448819</v>
      </c>
      <c r="Z271" s="81" t="n">
        <f aca="false">Z269+Z270</f>
        <v>39.3353700787402</v>
      </c>
      <c r="AA271" s="81" t="n">
        <f aca="false">AA269+AA270</f>
        <v>40.6542992125984</v>
      </c>
    </row>
    <row r="272" customFormat="false" ht="15" hidden="false" customHeight="false" outlineLevel="0" collapsed="false">
      <c r="A272" s="16" t="n">
        <v>40</v>
      </c>
      <c r="B272" s="46" t="str">
        <f aca="false">'Stitch Library'!B45</f>
        <v>517 / 301 SafetyS Lockstitch</v>
      </c>
      <c r="H272" s="81" t="n">
        <f aca="false">2+2*($C$231*H$232)</f>
        <v>2.94488188976378</v>
      </c>
      <c r="I272" s="81" t="n">
        <f aca="false">2+2*($C$231*I$232)</f>
        <v>3.13385826771654</v>
      </c>
      <c r="J272" s="81" t="n">
        <f aca="false">2+2*($C$231*J$232)</f>
        <v>3.32283464566929</v>
      </c>
      <c r="K272" s="81" t="n">
        <f aca="false">2+2*($C$231*K$232)</f>
        <v>3.51181102362205</v>
      </c>
      <c r="L272" s="81" t="n">
        <f aca="false">2+2*($C$231*L$232)</f>
        <v>3.7007874015748</v>
      </c>
      <c r="M272" s="81" t="n">
        <f aca="false">2+2*($C$231*M$232)</f>
        <v>3.88976377952756</v>
      </c>
      <c r="N272" s="81" t="n">
        <f aca="false">2+2*($C$231*N$232)</f>
        <v>4.07874015748032</v>
      </c>
      <c r="O272" s="81" t="n">
        <f aca="false">2+2*($C$231*O$232)</f>
        <v>4.26771653543307</v>
      </c>
      <c r="P272" s="81" t="n">
        <f aca="false">2+2*($C$231*P$232)</f>
        <v>4.45669291338583</v>
      </c>
      <c r="Q272" s="81" t="n">
        <f aca="false">2+2*($C$231*Q$232)</f>
        <v>4.64566929133858</v>
      </c>
      <c r="R272" s="81" t="n">
        <f aca="false">2+2*($C$231*R$232)</f>
        <v>4.83464566929134</v>
      </c>
      <c r="S272" s="81" t="n">
        <f aca="false">2+2*($C$231*S$232)</f>
        <v>5.02362204724409</v>
      </c>
      <c r="T272" s="81" t="n">
        <f aca="false">2+2*($C$231*T$232)</f>
        <v>5.21259842519685</v>
      </c>
      <c r="U272" s="81" t="n">
        <f aca="false">2+2*($C$231*U$232)</f>
        <v>5.40157480314961</v>
      </c>
      <c r="V272" s="81" t="n">
        <f aca="false">2+2*($C$231*V$232)</f>
        <v>5.59055118110236</v>
      </c>
      <c r="W272" s="81" t="n">
        <f aca="false">2+2*($C$231*W$232)</f>
        <v>5.77952755905512</v>
      </c>
      <c r="X272" s="81" t="n">
        <f aca="false">2+2*($C$231*X$232)</f>
        <v>5.96850393700787</v>
      </c>
      <c r="Y272" s="81" t="n">
        <f aca="false">2+2*($C$231*Y$232)</f>
        <v>6.15748031496063</v>
      </c>
      <c r="Z272" s="81" t="n">
        <f aca="false">2+2*($C$231*Z$232)</f>
        <v>6.34645669291339</v>
      </c>
      <c r="AA272" s="81" t="n">
        <f aca="false">2+2*($C$231*AA$232)</f>
        <v>6.53543307086614</v>
      </c>
    </row>
    <row r="273" customFormat="false" ht="15" hidden="false" customHeight="false" outlineLevel="0" collapsed="false">
      <c r="A273" s="16" t="n">
        <v>41</v>
      </c>
      <c r="B273" s="46" t="str">
        <f aca="false">'Stitch Library'!B46</f>
        <v>517 / 504 SafetyS Overedge</v>
      </c>
      <c r="H273" s="81" t="n">
        <f aca="false">4*(H$232*(0.188+$C$231))+5</f>
        <v>10.6497637795276</v>
      </c>
      <c r="I273" s="81" t="n">
        <f aca="false">4*(I$232*(0.188+$C$231))+5</f>
        <v>11.7797165354331</v>
      </c>
      <c r="J273" s="81" t="n">
        <f aca="false">4*(J$232*(0.188+$C$231))+5</f>
        <v>12.9096692913386</v>
      </c>
      <c r="K273" s="81" t="n">
        <f aca="false">4*(K$232*(0.188+$C$231))+5</f>
        <v>14.0396220472441</v>
      </c>
      <c r="L273" s="81" t="n">
        <f aca="false">4*(L$232*(0.188+$C$231))+5</f>
        <v>15.1695748031496</v>
      </c>
      <c r="M273" s="81" t="n">
        <f aca="false">4*(M$232*(0.188+$C$231))+5</f>
        <v>16.2995275590551</v>
      </c>
      <c r="N273" s="81" t="n">
        <f aca="false">4*(N$232*(0.188+$C$231))+5</f>
        <v>17.4294803149606</v>
      </c>
      <c r="O273" s="81" t="n">
        <f aca="false">4*(O$232*(0.188+$C$231))+5</f>
        <v>18.5594330708661</v>
      </c>
      <c r="P273" s="81" t="n">
        <f aca="false">4*(P$232*(0.188+$C$231))+5</f>
        <v>19.6893858267717</v>
      </c>
      <c r="Q273" s="81" t="n">
        <f aca="false">4*(Q$232*(0.188+$C$231))+5</f>
        <v>20.8193385826772</v>
      </c>
      <c r="R273" s="81" t="n">
        <f aca="false">4*(R$232*(0.188+$C$231))+5</f>
        <v>21.9492913385827</v>
      </c>
      <c r="S273" s="81" t="n">
        <f aca="false">4*(S$232*(0.188+$C$231))+5</f>
        <v>23.0792440944882</v>
      </c>
      <c r="T273" s="81" t="n">
        <f aca="false">4*(T$232*(0.188+$C$231))+5</f>
        <v>24.2091968503937</v>
      </c>
      <c r="U273" s="81" t="n">
        <f aca="false">4*(U$232*(0.188+$C$231))+5</f>
        <v>25.3391496062992</v>
      </c>
      <c r="V273" s="81" t="n">
        <f aca="false">4*(V$232*(0.188+$C$231))+5</f>
        <v>26.4691023622047</v>
      </c>
      <c r="W273" s="81" t="n">
        <f aca="false">4*(W$232*(0.188+$C$231))+5</f>
        <v>27.5990551181102</v>
      </c>
      <c r="X273" s="81" t="n">
        <f aca="false">4*(X$232*(0.188+$C$231))+5</f>
        <v>28.7290078740158</v>
      </c>
      <c r="Y273" s="81" t="n">
        <f aca="false">4*(Y$232*(0.188+$C$231))+5</f>
        <v>29.8589606299213</v>
      </c>
      <c r="Z273" s="81" t="n">
        <f aca="false">4*(Z$232*(0.188+$C$231))+5</f>
        <v>30.9889133858268</v>
      </c>
      <c r="AA273" s="81" t="n">
        <f aca="false">4*(AA$232*(0.188+$C$231))+5</f>
        <v>32.1188661417323</v>
      </c>
    </row>
    <row r="274" customFormat="false" ht="15" hidden="false" customHeight="false" outlineLevel="0" collapsed="false">
      <c r="A274" s="16" t="n">
        <v>42</v>
      </c>
      <c r="B274" s="46" t="str">
        <f aca="false">'Stitch Library'!B47</f>
        <v>524 (3/16") / 401 &amp; 514 Stitch</v>
      </c>
      <c r="H274" s="81" t="n">
        <f aca="false">H246+H263</f>
        <v>16.5395275590551</v>
      </c>
      <c r="I274" s="81" t="n">
        <f aca="false">I246+I263</f>
        <v>18.0474330708661</v>
      </c>
      <c r="J274" s="81" t="n">
        <f aca="false">J246+J263</f>
        <v>19.5553385826772</v>
      </c>
      <c r="K274" s="81" t="n">
        <f aca="false">K246+K263</f>
        <v>21.0632440944882</v>
      </c>
      <c r="L274" s="81" t="n">
        <f aca="false">L246+L263</f>
        <v>22.5711496062992</v>
      </c>
      <c r="M274" s="81" t="n">
        <f aca="false">M246+M263</f>
        <v>24.0790551181102</v>
      </c>
      <c r="N274" s="81" t="n">
        <f aca="false">N246+N263</f>
        <v>25.5869606299213</v>
      </c>
      <c r="O274" s="81" t="n">
        <f aca="false">O246+O263</f>
        <v>27.0948661417323</v>
      </c>
      <c r="P274" s="81" t="n">
        <f aca="false">P246+P263</f>
        <v>28.6027716535433</v>
      </c>
      <c r="Q274" s="81" t="n">
        <f aca="false">Q246+Q263</f>
        <v>30.1106771653543</v>
      </c>
      <c r="R274" s="81" t="n">
        <f aca="false">R246+R263</f>
        <v>31.6185826771654</v>
      </c>
      <c r="S274" s="81" t="n">
        <f aca="false">S246+S263</f>
        <v>33.1264881889764</v>
      </c>
      <c r="T274" s="81" t="n">
        <f aca="false">T246+T263</f>
        <v>34.6343937007874</v>
      </c>
      <c r="U274" s="81" t="n">
        <f aca="false">U246+U263</f>
        <v>36.1422992125984</v>
      </c>
      <c r="V274" s="81" t="n">
        <f aca="false">V246+V263</f>
        <v>37.6502047244095</v>
      </c>
      <c r="W274" s="81" t="n">
        <f aca="false">W246+W263</f>
        <v>39.1581102362205</v>
      </c>
      <c r="X274" s="81" t="n">
        <f aca="false">X246+X263</f>
        <v>40.6660157480315</v>
      </c>
      <c r="Y274" s="81" t="n">
        <f aca="false">Y246+Y263</f>
        <v>42.1739212598425</v>
      </c>
      <c r="Z274" s="81" t="n">
        <f aca="false">Z246+Z263</f>
        <v>43.6818267716535</v>
      </c>
      <c r="AA274" s="81" t="n">
        <f aca="false">AA246+AA263</f>
        <v>45.1897322834646</v>
      </c>
    </row>
    <row r="275" customFormat="false" ht="15" hidden="false" customHeight="false" outlineLevel="0" collapsed="false">
      <c r="A275" s="16" t="n">
        <v>43</v>
      </c>
      <c r="B275" s="46" t="str">
        <f aca="false">'Stitch Library'!B48</f>
        <v>524 (1/4") / 401 &amp; 514 Stitch</v>
      </c>
      <c r="H275" s="81" t="n">
        <f aca="false">H246+H264</f>
        <v>17.7795275590551</v>
      </c>
      <c r="I275" s="81" t="n">
        <f aca="false">I246+I264</f>
        <v>19.5354330708661</v>
      </c>
      <c r="J275" s="81" t="n">
        <f aca="false">J246+J264</f>
        <v>21.2913385826772</v>
      </c>
      <c r="K275" s="81" t="n">
        <f aca="false">K246+K264</f>
        <v>23.0472440944882</v>
      </c>
      <c r="L275" s="81" t="n">
        <f aca="false">L246+L264</f>
        <v>24.8031496062992</v>
      </c>
      <c r="M275" s="81" t="n">
        <f aca="false">M246+M264</f>
        <v>26.5590551181102</v>
      </c>
      <c r="N275" s="81" t="n">
        <f aca="false">N246+N264</f>
        <v>28.3149606299213</v>
      </c>
      <c r="O275" s="81" t="n">
        <f aca="false">O246+O264</f>
        <v>30.0708661417323</v>
      </c>
      <c r="P275" s="81" t="n">
        <f aca="false">P246+P264</f>
        <v>31.8267716535433</v>
      </c>
      <c r="Q275" s="81" t="n">
        <f aca="false">Q246+Q264</f>
        <v>33.5826771653543</v>
      </c>
      <c r="R275" s="81" t="n">
        <f aca="false">R246+R264</f>
        <v>35.3385826771654</v>
      </c>
      <c r="S275" s="81" t="n">
        <f aca="false">S246+S264</f>
        <v>37.0944881889764</v>
      </c>
      <c r="T275" s="81" t="n">
        <f aca="false">T246+T264</f>
        <v>38.8503937007874</v>
      </c>
      <c r="U275" s="81" t="n">
        <f aca="false">U246+U264</f>
        <v>40.6062992125984</v>
      </c>
      <c r="V275" s="81" t="n">
        <f aca="false">V246+V264</f>
        <v>42.3622047244094</v>
      </c>
      <c r="W275" s="81" t="n">
        <f aca="false">W246+W264</f>
        <v>44.1181102362205</v>
      </c>
      <c r="X275" s="81" t="n">
        <f aca="false">X246+X264</f>
        <v>45.8740157480315</v>
      </c>
      <c r="Y275" s="81" t="n">
        <f aca="false">Y246+Y264</f>
        <v>47.6299212598425</v>
      </c>
      <c r="Z275" s="81" t="n">
        <f aca="false">Z246+Z264</f>
        <v>49.3858267716536</v>
      </c>
      <c r="AA275" s="81" t="n">
        <f aca="false">AA246+AA264</f>
        <v>51.1417322834646</v>
      </c>
    </row>
    <row r="276" customFormat="false" ht="15" hidden="false" customHeight="false" outlineLevel="0" collapsed="false">
      <c r="A276" s="16" t="n">
        <v>44</v>
      </c>
      <c r="B276" s="46" t="str">
        <f aca="false">'Stitch Library'!B49</f>
        <v>524 (5/16") / 401 &amp; 514 Stitch</v>
      </c>
      <c r="H276" s="81" t="n">
        <f aca="false">H246+H265</f>
        <v>19.0395275590551</v>
      </c>
      <c r="I276" s="81" t="n">
        <f aca="false">I246+I265</f>
        <v>21.0474330708661</v>
      </c>
      <c r="J276" s="81" t="n">
        <f aca="false">J246+J265</f>
        <v>23.0553385826772</v>
      </c>
      <c r="K276" s="81" t="n">
        <f aca="false">K246+K265</f>
        <v>25.0632440944882</v>
      </c>
      <c r="L276" s="81" t="n">
        <f aca="false">L246+L265</f>
        <v>27.0711496062992</v>
      </c>
      <c r="M276" s="81" t="n">
        <f aca="false">M246+M265</f>
        <v>29.0790551181102</v>
      </c>
      <c r="N276" s="81" t="n">
        <f aca="false">N246+N265</f>
        <v>31.0869606299213</v>
      </c>
      <c r="O276" s="81" t="n">
        <f aca="false">O246+O265</f>
        <v>33.0948661417323</v>
      </c>
      <c r="P276" s="81" t="n">
        <f aca="false">P246+P265</f>
        <v>35.1027716535433</v>
      </c>
      <c r="Q276" s="81" t="n">
        <f aca="false">Q246+Q265</f>
        <v>37.1106771653543</v>
      </c>
      <c r="R276" s="81" t="n">
        <f aca="false">R246+R265</f>
        <v>39.1185826771654</v>
      </c>
      <c r="S276" s="81" t="n">
        <f aca="false">S246+S265</f>
        <v>41.1264881889764</v>
      </c>
      <c r="T276" s="81" t="n">
        <f aca="false">T246+T265</f>
        <v>43.1343937007874</v>
      </c>
      <c r="U276" s="81" t="n">
        <f aca="false">U246+U265</f>
        <v>45.1422992125984</v>
      </c>
      <c r="V276" s="81" t="n">
        <f aca="false">V246+V265</f>
        <v>47.1502047244095</v>
      </c>
      <c r="W276" s="81" t="n">
        <f aca="false">W246+W265</f>
        <v>49.1581102362205</v>
      </c>
      <c r="X276" s="81" t="n">
        <f aca="false">X246+X265</f>
        <v>51.1660157480315</v>
      </c>
      <c r="Y276" s="81" t="n">
        <f aca="false">Y246+Y265</f>
        <v>53.1739212598425</v>
      </c>
      <c r="Z276" s="81" t="n">
        <f aca="false">Z246+Z265</f>
        <v>55.1818267716535</v>
      </c>
      <c r="AA276" s="81" t="n">
        <f aca="false">AA246+AA265</f>
        <v>57.1897322834646</v>
      </c>
    </row>
    <row r="277" customFormat="false" ht="15" hidden="false" customHeight="false" outlineLevel="0" collapsed="false">
      <c r="A277" s="16" t="n">
        <v>45</v>
      </c>
      <c r="B277" s="46" t="str">
        <f aca="false">'Stitch Library'!B50</f>
        <v>602 1/8" 2 Ndl Coverstitch</v>
      </c>
      <c r="H277" s="81" t="n">
        <f aca="false">8+(H$232*(5*0.125)+(4*$C$231))</f>
        <v>11.5029527559055</v>
      </c>
      <c r="I277" s="81" t="n">
        <f aca="false">8+(I$232*(5*0.125)+(4*$C$231))</f>
        <v>12.1279527559055</v>
      </c>
      <c r="J277" s="81" t="n">
        <f aca="false">8+(J$232*(5*0.125)+(4*$C$231))</f>
        <v>12.7529527559055</v>
      </c>
      <c r="K277" s="81" t="n">
        <f aca="false">8+(K$232*(5*0.125)+(4*$C$231))</f>
        <v>13.3779527559055</v>
      </c>
      <c r="L277" s="81" t="n">
        <f aca="false">8+(L$232*(5*0.125)+(4*$C$231))</f>
        <v>14.0029527559055</v>
      </c>
      <c r="M277" s="81" t="n">
        <f aca="false">8+(M$232*(5*0.125)+(4*$C$231))</f>
        <v>14.6279527559055</v>
      </c>
      <c r="N277" s="81" t="n">
        <f aca="false">8+(N$232*(5*0.125)+(4*$C$231))</f>
        <v>15.2529527559055</v>
      </c>
      <c r="O277" s="81" t="n">
        <f aca="false">8+(O$232*(5*0.125)+(4*$C$231))</f>
        <v>15.8779527559055</v>
      </c>
      <c r="P277" s="81" t="n">
        <f aca="false">8+(P$232*(5*0.125)+(4*$C$231))</f>
        <v>16.5029527559055</v>
      </c>
      <c r="Q277" s="81" t="n">
        <f aca="false">8+(Q$232*(5*0.125)+(4*$C$231))</f>
        <v>17.1279527559055</v>
      </c>
      <c r="R277" s="81" t="n">
        <f aca="false">8+(R$232*(5*0.125)+(4*$C$231))</f>
        <v>17.7529527559055</v>
      </c>
      <c r="S277" s="81" t="n">
        <f aca="false">8+(S$232*(5*0.125)+(4*$C$231))</f>
        <v>18.3779527559055</v>
      </c>
      <c r="T277" s="81" t="n">
        <f aca="false">8+(T$232*(5*0.125)+(4*$C$231))</f>
        <v>19.0029527559055</v>
      </c>
      <c r="U277" s="81" t="n">
        <f aca="false">8+(U$232*(5*0.125)+(4*$C$231))</f>
        <v>19.6279527559055</v>
      </c>
      <c r="V277" s="81" t="n">
        <f aca="false">8+(V$232*(5*0.125)+(4*$C$231))</f>
        <v>20.2529527559055</v>
      </c>
      <c r="W277" s="81" t="n">
        <f aca="false">8+(W$232*(5*0.125)+(4*$C$231))</f>
        <v>20.8779527559055</v>
      </c>
      <c r="X277" s="81" t="n">
        <f aca="false">8+(X$232*(5*0.125)+(4*$C$231))</f>
        <v>21.5029527559055</v>
      </c>
      <c r="Y277" s="81" t="n">
        <f aca="false">8+(Y$232*(5*0.125)+(4*$C$231))</f>
        <v>22.1279527559055</v>
      </c>
      <c r="Z277" s="81" t="n">
        <f aca="false">8+(Z$232*(5*0.125)+(4*$C$231))</f>
        <v>22.7529527559055</v>
      </c>
      <c r="AA277" s="81" t="n">
        <f aca="false">8+(AA$232*(5*0.125)+(4*$C$231))</f>
        <v>23.3779527559055</v>
      </c>
    </row>
    <row r="278" customFormat="false" ht="15" hidden="false" customHeight="false" outlineLevel="0" collapsed="false">
      <c r="A278" s="16" t="n">
        <v>46</v>
      </c>
      <c r="B278" s="46" t="str">
        <f aca="false">'Stitch Library'!B51</f>
        <v>602 3/16"m 2 Ndl Coverstitch</v>
      </c>
      <c r="H278" s="81" t="n">
        <f aca="false">8+(H$232*(5*0.188)+(4*$C$231))</f>
        <v>13.0779527559055</v>
      </c>
      <c r="I278" s="81" t="n">
        <f aca="false">8+(I$232*(5*0.188)+(4*$C$231))</f>
        <v>14.0179527559055</v>
      </c>
      <c r="J278" s="81" t="n">
        <f aca="false">8+(J$232*(5*0.188)+(4*$C$231))</f>
        <v>14.9579527559055</v>
      </c>
      <c r="K278" s="81" t="n">
        <f aca="false">8+(K$232*(5*0.188)+(4*$C$231))</f>
        <v>15.8979527559055</v>
      </c>
      <c r="L278" s="81" t="n">
        <f aca="false">8+(L$232*(5*0.188)+(4*$C$231))</f>
        <v>16.8379527559055</v>
      </c>
      <c r="M278" s="81" t="n">
        <f aca="false">8+(M$232*(5*0.188)+(4*$C$231))</f>
        <v>17.7779527559055</v>
      </c>
      <c r="N278" s="81" t="n">
        <f aca="false">8+(N$232*(5*0.188)+(4*$C$231))</f>
        <v>18.7179527559055</v>
      </c>
      <c r="O278" s="81" t="n">
        <f aca="false">8+(O$232*(5*0.188)+(4*$C$231))</f>
        <v>19.6579527559055</v>
      </c>
      <c r="P278" s="81" t="n">
        <f aca="false">8+(P$232*(5*0.188)+(4*$C$231))</f>
        <v>20.5979527559055</v>
      </c>
      <c r="Q278" s="81" t="n">
        <f aca="false">8+(Q$232*(5*0.188)+(4*$C$231))</f>
        <v>21.5379527559055</v>
      </c>
      <c r="R278" s="81" t="n">
        <f aca="false">8+(R$232*(5*0.188)+(4*$C$231))</f>
        <v>22.4779527559055</v>
      </c>
      <c r="S278" s="81" t="n">
        <f aca="false">8+(S$232*(5*0.188)+(4*$C$231))</f>
        <v>23.4179527559055</v>
      </c>
      <c r="T278" s="81" t="n">
        <f aca="false">8+(T$232*(5*0.188)+(4*$C$231))</f>
        <v>24.3579527559055</v>
      </c>
      <c r="U278" s="81" t="n">
        <f aca="false">8+(U$232*(5*0.188)+(4*$C$231))</f>
        <v>25.2979527559055</v>
      </c>
      <c r="V278" s="81" t="n">
        <f aca="false">8+(V$232*(5*0.188)+(4*$C$231))</f>
        <v>26.2379527559055</v>
      </c>
      <c r="W278" s="81" t="n">
        <f aca="false">8+(W$232*(5*0.188)+(4*$C$231))</f>
        <v>27.1779527559055</v>
      </c>
      <c r="X278" s="81" t="n">
        <f aca="false">8+(X$232*(5*0.188)+(4*$C$231))</f>
        <v>28.1179527559055</v>
      </c>
      <c r="Y278" s="81" t="n">
        <f aca="false">8+(Y$232*(5*0.188)+(4*$C$231))</f>
        <v>29.0579527559055</v>
      </c>
      <c r="Z278" s="81" t="n">
        <f aca="false">8+(Z$232*(5*0.188)+(4*$C$231))</f>
        <v>29.9979527559055</v>
      </c>
      <c r="AA278" s="81" t="n">
        <f aca="false">8+(AA$232*(5*0.188)+(4*$C$231))</f>
        <v>30.9379527559055</v>
      </c>
    </row>
    <row r="279" customFormat="false" ht="15" hidden="false" customHeight="false" outlineLevel="0" collapsed="false">
      <c r="A279" s="16" t="n">
        <v>47</v>
      </c>
      <c r="B279" s="46" t="str">
        <f aca="false">'Stitch Library'!B52</f>
        <v>602 1/4" 2 Ndl Coverstitch</v>
      </c>
      <c r="H279" s="81" t="n">
        <f aca="false">8+(H$232*(5*0.25)+(4*$C$231))</f>
        <v>14.6279527559055</v>
      </c>
      <c r="I279" s="81" t="n">
        <f aca="false">8+(I$232*(5*0.25)+(4*$C$231))</f>
        <v>15.8779527559055</v>
      </c>
      <c r="J279" s="81" t="n">
        <f aca="false">8+(J$232*(5*0.25)+(4*$C$231))</f>
        <v>17.1279527559055</v>
      </c>
      <c r="K279" s="81" t="n">
        <f aca="false">8+(K$232*(5*0.25)+(4*$C$231))</f>
        <v>18.3779527559055</v>
      </c>
      <c r="L279" s="81" t="n">
        <f aca="false">8+(L$232*(5*0.25)+(4*$C$231))</f>
        <v>19.6279527559055</v>
      </c>
      <c r="M279" s="81" t="n">
        <f aca="false">8+(M$232*(5*0.25)+(4*$C$231))</f>
        <v>20.8779527559055</v>
      </c>
      <c r="N279" s="81" t="n">
        <f aca="false">8+(N$232*(5*0.25)+(4*$C$231))</f>
        <v>22.1279527559055</v>
      </c>
      <c r="O279" s="81" t="n">
        <f aca="false">8+(O$232*(5*0.25)+(4*$C$231))</f>
        <v>23.3779527559055</v>
      </c>
      <c r="P279" s="81" t="n">
        <f aca="false">8+(P$232*(5*0.25)+(4*$C$231))</f>
        <v>24.6279527559055</v>
      </c>
      <c r="Q279" s="81" t="n">
        <f aca="false">8+(Q$232*(5*0.25)+(4*$C$231))</f>
        <v>25.8779527559055</v>
      </c>
      <c r="R279" s="81" t="n">
        <f aca="false">8+(R$232*(5*0.25)+(4*$C$231))</f>
        <v>27.1279527559055</v>
      </c>
      <c r="S279" s="81" t="n">
        <f aca="false">8+(S$232*(5*0.25)+(4*$C$231))</f>
        <v>28.3779527559055</v>
      </c>
      <c r="T279" s="81" t="n">
        <f aca="false">8+(T$232*(5*0.25)+(4*$C$231))</f>
        <v>29.6279527559055</v>
      </c>
      <c r="U279" s="81" t="n">
        <f aca="false">8+(U$232*(5*0.25)+(4*$C$231))</f>
        <v>30.8779527559055</v>
      </c>
      <c r="V279" s="81" t="n">
        <f aca="false">8+(V$232*(5*0.25)+(4*$C$231))</f>
        <v>32.1279527559055</v>
      </c>
      <c r="W279" s="81" t="n">
        <f aca="false">8+(W$232*(5*0.25)+(4*$C$231))</f>
        <v>33.3779527559055</v>
      </c>
      <c r="X279" s="81" t="n">
        <f aca="false">8+(X$232*(5*0.25)+(4*$C$231))</f>
        <v>34.6279527559055</v>
      </c>
      <c r="Y279" s="81" t="n">
        <f aca="false">8+(Y$232*(5*0.25)+(4*$C$231))</f>
        <v>35.8779527559055</v>
      </c>
      <c r="Z279" s="81" t="n">
        <f aca="false">8+(Z$232*(5*0.25)+(4*$C$231))</f>
        <v>37.1279527559055</v>
      </c>
      <c r="AA279" s="81" t="n">
        <f aca="false">8+(AA$232*(5*0.25)+(4*$C$231))</f>
        <v>38.3779527559055</v>
      </c>
    </row>
    <row r="280" customFormat="false" ht="15" hidden="false" customHeight="false" outlineLevel="0" collapsed="false">
      <c r="A280" s="16" t="n">
        <v>48</v>
      </c>
      <c r="B280" s="46" t="str">
        <f aca="false">'Stitch Library'!B53</f>
        <v>605 3 Ndl Coverstitch</v>
      </c>
      <c r="H280" s="81" t="n">
        <f aca="false">10+(2*(H$232*((2*0.25)+(3*$C$231))))</f>
        <v>17.8346456692913</v>
      </c>
      <c r="I280" s="81" t="n">
        <f aca="false">10+(2*(I$232*((2*0.25)+(3*$C$231))))</f>
        <v>19.4015748031496</v>
      </c>
      <c r="J280" s="81" t="n">
        <f aca="false">10+(2*(J$232*((2*0.25)+(3*$C$231))))</f>
        <v>20.9685039370079</v>
      </c>
      <c r="K280" s="81" t="n">
        <f aca="false">10+(2*(K$232*((2*0.25)+(3*$C$231))))</f>
        <v>22.5354330708661</v>
      </c>
      <c r="L280" s="81" t="n">
        <f aca="false">10+(2*(L$232*((2*0.25)+(3*$C$231))))</f>
        <v>24.1023622047244</v>
      </c>
      <c r="M280" s="81" t="n">
        <f aca="false">10+(2*(M$232*((2*0.25)+(3*$C$231))))</f>
        <v>25.6692913385827</v>
      </c>
      <c r="N280" s="81" t="n">
        <f aca="false">10+(2*(N$232*((2*0.25)+(3*$C$231))))</f>
        <v>27.2362204724409</v>
      </c>
      <c r="O280" s="81" t="n">
        <f aca="false">10+(2*(O$232*((2*0.25)+(3*$C$231))))</f>
        <v>28.8031496062992</v>
      </c>
      <c r="P280" s="81" t="n">
        <f aca="false">10+(2*(P$232*((2*0.25)+(3*$C$231))))</f>
        <v>30.3700787401575</v>
      </c>
      <c r="Q280" s="81" t="n">
        <f aca="false">10+(2*(Q$232*((2*0.25)+(3*$C$231))))</f>
        <v>31.9370078740157</v>
      </c>
      <c r="R280" s="81" t="n">
        <f aca="false">10+(2*(R$232*((2*0.25)+(3*$C$231))))</f>
        <v>33.503937007874</v>
      </c>
      <c r="S280" s="81" t="n">
        <f aca="false">10+(2*(S$232*((2*0.25)+(3*$C$231))))</f>
        <v>35.0708661417323</v>
      </c>
      <c r="T280" s="81" t="n">
        <f aca="false">10+(2*(T$232*((2*0.25)+(3*$C$231))))</f>
        <v>36.6377952755906</v>
      </c>
      <c r="U280" s="81" t="n">
        <f aca="false">10+(2*(U$232*((2*0.25)+(3*$C$231))))</f>
        <v>38.2047244094488</v>
      </c>
      <c r="V280" s="81" t="n">
        <f aca="false">10+(2*(V$232*((2*0.25)+(3*$C$231))))</f>
        <v>39.7716535433071</v>
      </c>
      <c r="W280" s="81" t="n">
        <f aca="false">10+(2*(W$232*((2*0.25)+(3*$C$231))))</f>
        <v>41.3385826771654</v>
      </c>
      <c r="X280" s="81" t="n">
        <f aca="false">10+(2*(X$232*((2*0.25)+(3*$C$231))))</f>
        <v>42.9055118110236</v>
      </c>
      <c r="Y280" s="81" t="n">
        <f aca="false">10+(2*(Y$232*((2*0.25)+(3*$C$231))))</f>
        <v>44.4724409448819</v>
      </c>
      <c r="Z280" s="81" t="n">
        <f aca="false">10+(2*(Z$232*((2*0.25)+(3*$C$231))))</f>
        <v>46.0393700787402</v>
      </c>
      <c r="AA280" s="81" t="n">
        <f aca="false">10+(2*(AA$232*((2*0.25)+(3*$C$231))))</f>
        <v>47.6062992125984</v>
      </c>
    </row>
    <row r="281" customFormat="false" ht="15" hidden="false" customHeight="false" outlineLevel="0" collapsed="false">
      <c r="A281" s="16" t="n">
        <v>49</v>
      </c>
      <c r="B281" s="46" t="str">
        <f aca="false">'Stitch Library'!B54</f>
        <v>607 4 Ndl Coverstitch</v>
      </c>
      <c r="H281" s="81" t="n">
        <f aca="false">12+4*H$232*((0.25)+(2*$C$231))</f>
        <v>20.7795275590551</v>
      </c>
      <c r="I281" s="81" t="n">
        <f aca="false">12+4*I$232*((0.25)+(2*$C$231))</f>
        <v>22.5354330708661</v>
      </c>
      <c r="J281" s="81" t="n">
        <f aca="false">12+4*J$232*((0.25)+(2*$C$231))</f>
        <v>24.2913385826772</v>
      </c>
      <c r="K281" s="81" t="n">
        <f aca="false">12+4*K$232*((0.25)+(2*$C$231))</f>
        <v>26.0472440944882</v>
      </c>
      <c r="L281" s="81" t="n">
        <f aca="false">12+4*L$232*((0.25)+(2*$C$231))</f>
        <v>27.8031496062992</v>
      </c>
      <c r="M281" s="81" t="n">
        <f aca="false">12+4*M$232*((0.25)+(2*$C$231))</f>
        <v>29.5590551181102</v>
      </c>
      <c r="N281" s="81" t="n">
        <f aca="false">12+4*N$232*((0.25)+(2*$C$231))</f>
        <v>31.3149606299213</v>
      </c>
      <c r="O281" s="81" t="n">
        <f aca="false">12+4*O$232*((0.25)+(2*$C$231))</f>
        <v>33.0708661417323</v>
      </c>
      <c r="P281" s="81" t="n">
        <f aca="false">12+4*P$232*((0.25)+(2*$C$231))</f>
        <v>34.8267716535433</v>
      </c>
      <c r="Q281" s="81" t="n">
        <f aca="false">12+4*Q$232*((0.25)+(2*$C$231))</f>
        <v>36.5826771653543</v>
      </c>
      <c r="R281" s="81" t="n">
        <f aca="false">12+4*R$232*((0.25)+(2*$C$231))</f>
        <v>38.3385826771654</v>
      </c>
      <c r="S281" s="81" t="n">
        <f aca="false">12+4*S$232*((0.25)+(2*$C$231))</f>
        <v>40.0944881889764</v>
      </c>
      <c r="T281" s="81" t="n">
        <f aca="false">12+4*T$232*((0.25)+(2*$C$231))</f>
        <v>41.8503937007874</v>
      </c>
      <c r="U281" s="81" t="n">
        <f aca="false">12+4*U$232*((0.25)+(2*$C$231))</f>
        <v>43.6062992125984</v>
      </c>
      <c r="V281" s="81" t="n">
        <f aca="false">12+4*V$232*((0.25)+(2*$C$231))</f>
        <v>45.3622047244095</v>
      </c>
      <c r="W281" s="81" t="n">
        <f aca="false">12+4*W$232*((0.25)+(2*$C$231))</f>
        <v>47.1181102362205</v>
      </c>
      <c r="X281" s="81" t="n">
        <f aca="false">12+4*X$232*((0.25)+(2*$C$231))</f>
        <v>48.8740157480315</v>
      </c>
      <c r="Y281" s="81" t="n">
        <f aca="false">12+4*Y$232*((0.25)+(2*$C$231))</f>
        <v>50.6299212598425</v>
      </c>
      <c r="Z281" s="81" t="n">
        <f aca="false">12+4*Z$232*((0.25)+(2*$C$231))</f>
        <v>52.3858267716535</v>
      </c>
      <c r="AA281" s="81" t="n">
        <f aca="false">12+4*AA$232*((0.25)+(2*$C$231))</f>
        <v>54.1417322834646</v>
      </c>
    </row>
    <row r="282" customFormat="false" ht="15" hidden="false" customHeight="false" outlineLevel="0" collapsed="false">
      <c r="A282" s="16" t="n">
        <v>50</v>
      </c>
      <c r="B282" s="46" t="str">
        <f aca="false">'Stitch Library'!B55</f>
        <v>Bartack 3/8"</v>
      </c>
      <c r="D282" s="80" t="n">
        <v>14</v>
      </c>
    </row>
    <row r="283" customFormat="false" ht="15" hidden="false" customHeight="false" outlineLevel="0" collapsed="false">
      <c r="A283" s="16" t="n">
        <v>51</v>
      </c>
      <c r="B283" s="46" t="str">
        <f aca="false">'Stitch Library'!B56</f>
        <v>Bartack 1/2"</v>
      </c>
      <c r="D283" s="80" t="n">
        <v>19</v>
      </c>
    </row>
    <row r="284" customFormat="false" ht="15" hidden="false" customHeight="false" outlineLevel="0" collapsed="false">
      <c r="A284" s="16" t="n">
        <v>52</v>
      </c>
      <c r="B284" s="46" t="str">
        <f aca="false">'Stitch Library'!B57</f>
        <v>Bartack 3/4"</v>
      </c>
      <c r="D284" s="80" t="n">
        <v>24</v>
      </c>
    </row>
    <row r="285" customFormat="false" ht="15" hidden="false" customHeight="false" outlineLevel="0" collapsed="false">
      <c r="A285" s="16" t="n">
        <v>53</v>
      </c>
      <c r="B285" s="46" t="str">
        <f aca="false">'Stitch Library'!B58</f>
        <v>BS 2 hole</v>
      </c>
      <c r="D285" s="80" t="n">
        <v>10</v>
      </c>
    </row>
    <row r="286" customFormat="false" ht="15" hidden="false" customHeight="false" outlineLevel="0" collapsed="false">
      <c r="A286" s="16" t="n">
        <v>54</v>
      </c>
      <c r="B286" s="46" t="str">
        <f aca="false">'Stitch Library'!B59</f>
        <v>BS 4 hole</v>
      </c>
      <c r="D286" s="80" t="n">
        <v>14</v>
      </c>
    </row>
    <row r="287" customFormat="false" ht="15" hidden="false" customHeight="false" outlineLevel="0" collapsed="false">
      <c r="A287" s="16" t="n">
        <v>55</v>
      </c>
      <c r="B287" s="46" t="str">
        <f aca="false">'Stitch Library'!B60</f>
        <v>BH 5/8"</v>
      </c>
      <c r="D287" s="80" t="n">
        <v>25</v>
      </c>
    </row>
    <row r="288" customFormat="false" ht="15" hidden="false" customHeight="false" outlineLevel="0" collapsed="false">
      <c r="A288" s="16" t="n">
        <v>56</v>
      </c>
      <c r="B288" s="46" t="str">
        <f aca="false">'Stitch Library'!B61</f>
        <v>BH Gimp 5/8"</v>
      </c>
      <c r="D288" s="80" t="n">
        <v>4</v>
      </c>
    </row>
    <row r="289" customFormat="false" ht="15" hidden="false" customHeight="false" outlineLevel="0" collapsed="false">
      <c r="A289" s="16" t="n">
        <v>57</v>
      </c>
      <c r="B289" s="46" t="str">
        <f aca="false">'Stitch Library'!B62</f>
        <v>BH 3/4"</v>
      </c>
      <c r="D289" s="80" t="n">
        <v>30</v>
      </c>
    </row>
    <row r="290" customFormat="false" ht="15" hidden="false" customHeight="false" outlineLevel="0" collapsed="false">
      <c r="A290" s="16" t="n">
        <v>58</v>
      </c>
      <c r="B290" s="46" t="str">
        <f aca="false">'Stitch Library'!B63</f>
        <v>BH Gimp 3/4"</v>
      </c>
      <c r="D290" s="80" t="n">
        <v>5</v>
      </c>
    </row>
    <row r="291" customFormat="false" ht="15" hidden="false" customHeight="false" outlineLevel="0" collapsed="false">
      <c r="A291" s="16" t="n">
        <v>59</v>
      </c>
      <c r="B291" s="46" t="str">
        <f aca="false">'Stitch Library'!B64</f>
        <v>BH 1"</v>
      </c>
      <c r="D291" s="80" t="n">
        <v>39</v>
      </c>
    </row>
    <row r="292" customFormat="false" ht="15" hidden="false" customHeight="false" outlineLevel="0" collapsed="false">
      <c r="A292" s="16" t="n">
        <v>60</v>
      </c>
      <c r="B292" s="46" t="str">
        <f aca="false">'Stitch Library'!B65</f>
        <v>BH Gimp 1"</v>
      </c>
      <c r="D292" s="80" t="n">
        <v>8</v>
      </c>
    </row>
    <row r="293" customFormat="false" ht="15" hidden="false" customHeight="false" outlineLevel="0" collapsed="false">
      <c r="A293" s="16" t="n">
        <v>61</v>
      </c>
      <c r="B293" s="46" t="str">
        <f aca="false">'Stitch Library'!B66</f>
        <v>Embroidery = 350</v>
      </c>
      <c r="D293" s="80" t="n">
        <v>358</v>
      </c>
    </row>
    <row r="294" customFormat="false" ht="15" hidden="false" customHeight="false" outlineLevel="0" collapsed="false">
      <c r="A294" s="16" t="n">
        <v>62</v>
      </c>
      <c r="B294" s="46" t="str">
        <f aca="false">'Stitch Library'!B67</f>
        <v>Embroidery = 500</v>
      </c>
      <c r="D294" s="80" t="n">
        <v>437</v>
      </c>
    </row>
    <row r="295" customFormat="false" ht="15" hidden="false" customHeight="false" outlineLevel="0" collapsed="false">
      <c r="A295" s="16" t="n">
        <v>63</v>
      </c>
      <c r="B295" s="46" t="str">
        <f aca="false">'Stitch Library'!B68</f>
        <v>Embroidery = 1000</v>
      </c>
      <c r="D295" s="80" t="n">
        <v>700</v>
      </c>
    </row>
    <row r="296" customFormat="false" ht="15" hidden="false" customHeight="false" outlineLevel="0" collapsed="false">
      <c r="A296" s="16" t="n">
        <v>64</v>
      </c>
      <c r="B296" s="46" t="str">
        <f aca="false">'Stitch Library'!B69</f>
        <v>Embroidery = 1500</v>
      </c>
      <c r="D296" s="80" t="n">
        <v>964</v>
      </c>
    </row>
    <row r="297" customFormat="false" ht="15" hidden="false" customHeight="false" outlineLevel="0" collapsed="false">
      <c r="A297" s="16" t="n">
        <v>65</v>
      </c>
      <c r="B297" s="46" t="str">
        <f aca="false">'Stitch Library'!B70</f>
        <v>Embroidery = 2000</v>
      </c>
      <c r="D297" s="80" t="n">
        <v>1228</v>
      </c>
    </row>
    <row r="298" customFormat="false" ht="15" hidden="false" customHeight="false" outlineLevel="0" collapsed="false">
      <c r="A298" s="16" t="n">
        <v>66</v>
      </c>
      <c r="B298" s="46" t="str">
        <f aca="false">'Stitch Library'!B71</f>
        <v>Embroidery = 2500</v>
      </c>
      <c r="D298" s="80" t="n">
        <v>1492</v>
      </c>
    </row>
    <row r="299" customFormat="false" ht="15" hidden="false" customHeight="false" outlineLevel="0" collapsed="false">
      <c r="A299" s="16" t="n">
        <v>67</v>
      </c>
      <c r="B299" s="46" t="str">
        <f aca="false">'Stitch Library'!B72</f>
        <v>Embroidery = 3000</v>
      </c>
      <c r="D299" s="80" t="n">
        <v>1755</v>
      </c>
    </row>
    <row r="300" customFormat="false" ht="15" hidden="false" customHeight="false" outlineLevel="0" collapsed="false">
      <c r="A300" s="16" t="n">
        <v>68</v>
      </c>
      <c r="B300" s="46" t="str">
        <f aca="false">'Stitch Library'!B73</f>
        <v>Cap Eyelet Stitch (5/16")</v>
      </c>
      <c r="D300" s="80" t="n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2026-10-19T06:38:13Z</dcterms:created>
  <dc:creator>openpyxl</dc:creator>
  <dc:description/>
  <dc:language>en-US</dc:language>
  <cp:lastModifiedBy/>
  <dcterms:modified xsi:type="dcterms:W3CDTF">2026-10-19T06:38:18Z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